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BPC_ Blackout Hr\"/>
    </mc:Choice>
  </mc:AlternateContent>
  <xr:revisionPtr revIDLastSave="1188" documentId="13_ncr:1_{3D1163B5-D236-4EB2-B0B1-B830E573068F}" xr6:coauthVersionLast="47" xr6:coauthVersionMax="47" xr10:uidLastSave="{38F5D411-8EA1-4C05-85AF-FB1F4379BEC0}"/>
  <bookViews>
    <workbookView xWindow="-110" yWindow="-110" windowWidth="19420" windowHeight="11620" xr2:uid="{31742421-6191-496F-925A-69F86EE48E66}"/>
  </bookViews>
  <sheets>
    <sheet name="C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3" l="1"/>
  <c r="AG19" i="3"/>
  <c r="AG18" i="3"/>
  <c r="AG37" i="3"/>
  <c r="AG28" i="3"/>
  <c r="AG33" i="3"/>
  <c r="AG24" i="3"/>
  <c r="AG36" i="3"/>
  <c r="AB11" i="3"/>
  <c r="AB34" i="3"/>
  <c r="AB19" i="3"/>
  <c r="AB18" i="3"/>
  <c r="AB42" i="3"/>
  <c r="AB41" i="3"/>
  <c r="AB37" i="3"/>
  <c r="AB8" i="3"/>
  <c r="AB33" i="3"/>
  <c r="AB15" i="3"/>
  <c r="AB28" i="3"/>
  <c r="AB13" i="3"/>
  <c r="AB21" i="3"/>
  <c r="W34" i="3"/>
  <c r="W28" i="3"/>
  <c r="W27" i="3"/>
  <c r="W15" i="3"/>
  <c r="W13" i="3"/>
  <c r="W36" i="3"/>
  <c r="W37" i="3"/>
  <c r="W33" i="3"/>
  <c r="W19" i="3"/>
  <c r="W18" i="3"/>
  <c r="W11" i="3"/>
  <c r="W23" i="3"/>
  <c r="W22" i="3"/>
  <c r="W21" i="3"/>
  <c r="H37" i="3"/>
  <c r="H36" i="3"/>
  <c r="H33" i="3"/>
  <c r="W8" i="3"/>
  <c r="M37" i="3"/>
  <c r="W24" i="3"/>
  <c r="R36" i="3"/>
  <c r="M40" i="3"/>
  <c r="R9" i="3"/>
  <c r="R42" i="3"/>
  <c r="R37" i="3"/>
  <c r="R40" i="3"/>
  <c r="R19" i="3"/>
  <c r="R18" i="3"/>
  <c r="H39" i="3"/>
  <c r="M13" i="3"/>
  <c r="M15" i="3"/>
  <c r="H11" i="3"/>
  <c r="M11" i="3"/>
  <c r="R11" i="3"/>
  <c r="AE4" i="3"/>
  <c r="AD4" i="3"/>
  <c r="AC4" i="3"/>
  <c r="AB4" i="3"/>
  <c r="Z4" i="3"/>
  <c r="Y4" i="3"/>
  <c r="X4" i="3"/>
  <c r="W4" i="3"/>
  <c r="U4" i="3"/>
  <c r="T4" i="3"/>
  <c r="S4" i="3"/>
  <c r="P4" i="3"/>
  <c r="O4" i="3"/>
  <c r="N4" i="3"/>
  <c r="K4" i="3"/>
  <c r="R33" i="3"/>
  <c r="M36" i="3"/>
  <c r="M38" i="3"/>
  <c r="H38" i="3"/>
  <c r="R23" i="3"/>
  <c r="R22" i="3"/>
  <c r="R4" i="3" s="1"/>
  <c r="M43" i="3"/>
  <c r="M42" i="3"/>
  <c r="H42" i="3"/>
  <c r="M8" i="3"/>
  <c r="M9" i="3"/>
  <c r="M19" i="3"/>
  <c r="H9" i="3"/>
  <c r="M18" i="3"/>
  <c r="H8" i="3"/>
  <c r="J57" i="3"/>
  <c r="H19" i="3"/>
  <c r="H18" i="3"/>
  <c r="M17" i="3"/>
  <c r="M16" i="3"/>
  <c r="M24" i="3"/>
  <c r="M23" i="3"/>
  <c r="H24" i="3"/>
  <c r="M22" i="3"/>
  <c r="H23" i="3"/>
  <c r="H22" i="3"/>
  <c r="M28" i="3"/>
  <c r="H28" i="3"/>
  <c r="M33" i="3"/>
  <c r="J4" i="3"/>
  <c r="I4" i="3"/>
  <c r="H4" i="3"/>
  <c r="M4" i="3" l="1"/>
</calcChain>
</file>

<file path=xl/sharedStrings.xml><?xml version="1.0" encoding="utf-8"?>
<sst xmlns="http://schemas.openxmlformats.org/spreadsheetml/2006/main" count="215" uniqueCount="79">
  <si>
    <t>စက်သုံးဆီဆိုင်မဟုတ်သည့် အခြားကဏ္ဍများ အရေးပေါ်စက်သုံးဆီလိုအပ်ချက်များ တင်ပြခြင်း</t>
  </si>
  <si>
    <t>စဥ်</t>
  </si>
  <si>
    <t>Center Name</t>
  </si>
  <si>
    <t>Type (Regular/ LNG)</t>
  </si>
  <si>
    <t>ဆီအမျိုးအစား (PD/HSD)</t>
  </si>
  <si>
    <t>ဝယ်ယူခဲ့ သည့် ကုမ္ပဏီ</t>
  </si>
  <si>
    <t>Machine
 Power</t>
  </si>
  <si>
    <t>Consumpiton
 Per Hour</t>
  </si>
  <si>
    <t>မသိရင် မဖြည့်လဲရပါသည်</t>
  </si>
  <si>
    <t>KVA</t>
  </si>
  <si>
    <t>Liter</t>
  </si>
  <si>
    <t>Generator Run Hr</t>
  </si>
  <si>
    <t>Daily Used (L)</t>
  </si>
  <si>
    <t>Spare Tank+Drum Balance (L)</t>
  </si>
  <si>
    <t>Blackout Hr (Gen 1 လုံးထက်ပိုသူများသာဖြည့်ရန်)</t>
  </si>
  <si>
    <t>ALL Total</t>
  </si>
  <si>
    <t>နေ့စဥ် မနက်၉နာရီမခွဲခင် အပြီးဝင်ဖြည့်ပေးပါရန်</t>
  </si>
  <si>
    <r>
      <rPr>
        <sz val="8"/>
        <color rgb="FF000000"/>
        <rFont val="Aptos Narrow"/>
      </rPr>
      <t xml:space="preserve">*Generator run hour ကို နာရီပြောင်းပြီး ဖြည့်ပေးပါ။ ဥပမာ။ 5:15 ဆိုရင် 5+(15/60)= </t>
    </r>
    <r>
      <rPr>
        <b/>
        <sz val="8"/>
        <color rgb="FFFF0000"/>
        <rFont val="Aptos Narrow"/>
      </rPr>
      <t>5.25 Hr</t>
    </r>
  </si>
  <si>
    <t>* spare tank balalce ကို site တစ်ခုအတွက် spare tank+drum အားလုံးစုစုပေါင်းပြီး တစ်ကြောင်းဘဲဖြည့်ပေးပါ။ Genrrator တစ်လုံးထက်ပိုသော site များအတွက် ကြိုက်ရာ generator တစ်ခု၏ဘေးတွင်ရေးပေးပါ။</t>
  </si>
  <si>
    <t>CM19</t>
  </si>
  <si>
    <t>Regular</t>
  </si>
  <si>
    <t>KOHLER-550</t>
  </si>
  <si>
    <t>POWER MAX-150</t>
  </si>
  <si>
    <t>HIMOINSA-300</t>
  </si>
  <si>
    <t>CMAYW</t>
  </si>
  <si>
    <t>KOHLER-440</t>
  </si>
  <si>
    <t>CMDGSK</t>
  </si>
  <si>
    <t>CMKSM</t>
  </si>
  <si>
    <t>AKSA-100</t>
  </si>
  <si>
    <t>KOHLER-350</t>
  </si>
  <si>
    <t>LONGEN-275</t>
  </si>
  <si>
    <t>CMLNP</t>
  </si>
  <si>
    <t>POWER MAX-500</t>
  </si>
  <si>
    <t>CMLPZD</t>
  </si>
  <si>
    <t>KOHLER MOBILE-550</t>
  </si>
  <si>
    <t>SDMO G3-700</t>
  </si>
  <si>
    <t>CMLSPL</t>
  </si>
  <si>
    <t>HIMONISA-200</t>
  </si>
  <si>
    <t>KOHLER-727</t>
  </si>
  <si>
    <t>CMMNG</t>
  </si>
  <si>
    <t>HARMONY-700</t>
  </si>
  <si>
    <t>CMPale</t>
  </si>
  <si>
    <t>KOHLER-220</t>
  </si>
  <si>
    <t>CMPLST</t>
  </si>
  <si>
    <t>CMSDHG</t>
  </si>
  <si>
    <t>CMSPT</t>
  </si>
  <si>
    <t>CMTLKK</t>
  </si>
  <si>
    <t>KOHLER-275</t>
  </si>
  <si>
    <t>KOHLER-410</t>
  </si>
  <si>
    <t>CMTM</t>
  </si>
  <si>
    <t>VPS-500</t>
  </si>
  <si>
    <t>SDMO-550</t>
  </si>
  <si>
    <t>CMWZYD</t>
  </si>
  <si>
    <t>KHOLER-550</t>
  </si>
  <si>
    <t>CMYK</t>
  </si>
  <si>
    <t>MPGV</t>
  </si>
  <si>
    <t>CMCNTP</t>
  </si>
  <si>
    <t>LNG</t>
  </si>
  <si>
    <t>CMLHTY</t>
  </si>
  <si>
    <t>VOLVO-200</t>
  </si>
  <si>
    <t>CMLMLM</t>
  </si>
  <si>
    <t>G1 test run</t>
  </si>
  <si>
    <t>66kV system breakdown</t>
  </si>
  <si>
    <t>POWER MAX-250</t>
  </si>
  <si>
    <t>CMLOTR</t>
  </si>
  <si>
    <t>CMLPT</t>
  </si>
  <si>
    <t>SDMO-500</t>
  </si>
  <si>
    <t>CMLTMW</t>
  </si>
  <si>
    <t>PD</t>
  </si>
  <si>
    <t>Denko</t>
  </si>
  <si>
    <t>CAT C15-550</t>
  </si>
  <si>
    <t>MP6.5</t>
  </si>
  <si>
    <t>Moon Sun</t>
  </si>
  <si>
    <t>KOHLER -550</t>
  </si>
  <si>
    <t>CMLSJ</t>
  </si>
  <si>
    <t>CUMMINS-1000 (1)</t>
  </si>
  <si>
    <t>CUMMINS-1000 (2)</t>
  </si>
  <si>
    <t>CUMMINS-1000 (3)</t>
  </si>
  <si>
    <t>CUMMINS-1000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</si>
</sst>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#,##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</font>
    <font>
      <b/>
      <sz val="8"/>
      <color rgb="FFFF0000"/>
      <name val="Aptos Narrow"/>
    </font>
    <font>
      <sz val="8"/>
      <name val="Aptos Narrow"/>
    </font>
    <font>
      <b/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2" borderId="0" xfId="1" applyNumberFormat="1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vertical="center"/>
    </xf>
    <xf numFmtId="4" fontId="4" fillId="0" borderId="0" xfId="0" applyNumberFormat="1" applyFont="1"/>
    <xf numFmtId="4" fontId="4" fillId="0" borderId="0" xfId="1" applyNumberFormat="1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horizontal="center" vertical="center" textRotation="90"/>
    </xf>
    <xf numFmtId="3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4" fillId="0" borderId="0" xfId="1" applyNumberFormat="1" applyFont="1" applyFill="1" applyAlignment="1">
      <alignment horizontal="center" vertical="center" wrapText="1"/>
    </xf>
    <xf numFmtId="3" fontId="4" fillId="0" borderId="0" xfId="1" applyNumberFormat="1" applyFont="1" applyFill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4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vertical="center"/>
    </xf>
    <xf numFmtId="3" fontId="4" fillId="0" borderId="0" xfId="1" applyNumberFormat="1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4" fontId="4" fillId="2" borderId="0" xfId="1" applyNumberFormat="1" applyFont="1" applyFill="1" applyAlignment="1">
      <alignment horizontal="right" vertical="center" wrapText="1"/>
    </xf>
    <xf numFmtId="3" fontId="4" fillId="2" borderId="0" xfId="1" applyNumberFormat="1" applyFont="1" applyFill="1" applyAlignment="1">
      <alignment horizontal="right" vertical="center" wrapText="1"/>
    </xf>
    <xf numFmtId="4" fontId="4" fillId="0" borderId="0" xfId="1" applyNumberFormat="1" applyFont="1" applyAlignment="1">
      <alignment vertical="center" wrapText="1"/>
    </xf>
    <xf numFmtId="4" fontId="4" fillId="0" borderId="0" xfId="1" applyNumberFormat="1" applyFont="1" applyBorder="1" applyAlignment="1">
      <alignment vertical="center" wrapText="1"/>
    </xf>
    <xf numFmtId="3" fontId="4" fillId="0" borderId="0" xfId="1" applyNumberFormat="1" applyFont="1" applyBorder="1" applyAlignment="1">
      <alignment vertical="center" wrapText="1"/>
    </xf>
    <xf numFmtId="1" fontId="10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1" applyNumberFormat="1" applyFont="1" applyAlignment="1">
      <alignment horizontal="right" vertical="center" wrapText="1"/>
    </xf>
    <xf numFmtId="1" fontId="4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4" fontId="4" fillId="3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4" fontId="4" fillId="3" borderId="0" xfId="1" applyNumberFormat="1" applyFont="1" applyFill="1" applyAlignment="1">
      <alignment vertical="center" wrapText="1"/>
    </xf>
    <xf numFmtId="3" fontId="4" fillId="3" borderId="0" xfId="0" applyNumberFormat="1" applyFont="1" applyFill="1" applyAlignment="1">
      <alignment horizontal="right" vertical="center"/>
    </xf>
    <xf numFmtId="166" fontId="4" fillId="0" borderId="0" xfId="0" applyNumberFormat="1" applyFont="1" applyAlignment="1">
      <alignment vertical="center"/>
    </xf>
    <xf numFmtId="165" fontId="9" fillId="0" borderId="0" xfId="0" applyNumberFormat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3" fontId="4" fillId="0" borderId="0" xfId="1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 wrapText="1"/>
    </xf>
    <xf numFmtId="3" fontId="4" fillId="0" borderId="0" xfId="1" applyNumberFormat="1" applyFont="1" applyFill="1" applyAlignment="1">
      <alignment horizontal="right" vertical="center" wrapText="1"/>
    </xf>
    <xf numFmtId="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3" fontId="4" fillId="0" borderId="0" xfId="1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right" vertical="center" wrapText="1"/>
    </xf>
    <xf numFmtId="3" fontId="4" fillId="0" borderId="0" xfId="1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3" fontId="4" fillId="0" borderId="0" xfId="1" applyNumberFormat="1" applyFont="1" applyBorder="1" applyAlignment="1">
      <alignment horizontal="center" vertical="center" wrapText="1"/>
    </xf>
    <xf numFmtId="3" fontId="4" fillId="0" borderId="0" xfId="1" applyNumberFormat="1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534F-27F7-40C6-A75F-DF4BC3DE49B8}">
  <dimension ref="A1:AO71"/>
  <sheetViews>
    <sheetView tabSelected="1" workbookViewId="0">
      <pane xSplit="7" ySplit="7" topLeftCell="AC27" activePane="bottomRight" state="frozen"/>
      <selection pane="bottomRight" activeCell="A55" sqref="A55:XFD55"/>
      <selection pane="bottomLeft" activeCell="A8" sqref="A8"/>
      <selection pane="topRight" activeCell="H1" sqref="H1"/>
    </sheetView>
  </sheetViews>
  <sheetFormatPr defaultColWidth="9.85546875" defaultRowHeight="13.5" customHeight="1"/>
  <cols>
    <col min="1" max="1" width="5.85546875" style="25" customWidth="1"/>
    <col min="2" max="2" width="13.42578125" style="3" customWidth="1"/>
    <col min="3" max="3" width="8" style="3" customWidth="1"/>
    <col min="4" max="4" width="7.28515625" style="3" customWidth="1"/>
    <col min="5" max="5" width="6.28515625" style="3" customWidth="1"/>
    <col min="6" max="6" width="12.140625" style="18" customWidth="1"/>
    <col min="7" max="7" width="9.28515625" style="18" bestFit="1" customWidth="1"/>
    <col min="8" max="8" width="12.140625" style="3" customWidth="1"/>
    <col min="9" max="9" width="14.28515625" style="18" customWidth="1"/>
    <col min="10" max="10" width="13.5703125" style="18" customWidth="1"/>
    <col min="11" max="11" width="10" style="18" customWidth="1"/>
    <col min="12" max="12" width="2.5703125" style="3" customWidth="1"/>
    <col min="13" max="13" width="7.28515625" style="3" customWidth="1"/>
    <col min="14" max="14" width="8.5703125" style="18" bestFit="1" customWidth="1"/>
    <col min="15" max="16" width="10.28515625" style="18" customWidth="1"/>
    <col min="17" max="17" width="2.85546875" style="3" customWidth="1"/>
    <col min="18" max="18" width="8.5703125" style="3" customWidth="1"/>
    <col min="19" max="21" width="9.85546875" style="18"/>
    <col min="22" max="22" width="2.140625" style="3" customWidth="1"/>
    <col min="23" max="23" width="9.85546875" style="3"/>
    <col min="24" max="25" width="9.85546875" style="18"/>
    <col min="26" max="26" width="11.7109375" style="18" customWidth="1"/>
    <col min="27" max="27" width="2.7109375" style="3" customWidth="1"/>
    <col min="28" max="28" width="9.85546875" style="3"/>
    <col min="29" max="29" width="9.85546875" style="18"/>
    <col min="30" max="30" width="9.85546875" style="45"/>
    <col min="31" max="31" width="9.85546875" style="3"/>
    <col min="32" max="32" width="2" style="3" customWidth="1"/>
    <col min="33" max="33" width="9.85546875" style="3"/>
    <col min="34" max="34" width="8" style="3" customWidth="1"/>
    <col min="35" max="36" width="9.85546875" style="3"/>
    <col min="37" max="37" width="1.85546875" style="3" customWidth="1"/>
    <col min="38" max="16384" width="9.85546875" style="3"/>
  </cols>
  <sheetData>
    <row r="1" spans="1:41" s="2" customFormat="1">
      <c r="A1" s="24" t="s">
        <v>0</v>
      </c>
      <c r="D1" s="1"/>
      <c r="E1" s="1"/>
      <c r="F1" s="17"/>
      <c r="G1" s="17"/>
      <c r="H1" s="3"/>
      <c r="I1" s="18"/>
      <c r="J1" s="18"/>
      <c r="K1" s="18"/>
      <c r="L1" s="3"/>
      <c r="M1" s="4"/>
      <c r="N1" s="6"/>
      <c r="O1" s="23"/>
      <c r="P1" s="23"/>
      <c r="S1" s="23"/>
      <c r="T1" s="23"/>
      <c r="U1" s="23"/>
      <c r="X1" s="23"/>
      <c r="Y1" s="23"/>
      <c r="Z1" s="23"/>
      <c r="AC1" s="23"/>
      <c r="AD1" s="61"/>
    </row>
    <row r="2" spans="1:41" s="37" customFormat="1" ht="29.25" customHeight="1">
      <c r="A2" s="75" t="s">
        <v>1</v>
      </c>
      <c r="B2" s="76" t="s">
        <v>2</v>
      </c>
      <c r="C2" s="36" t="s">
        <v>3</v>
      </c>
      <c r="D2" s="26" t="s">
        <v>4</v>
      </c>
      <c r="E2" s="26" t="s">
        <v>5</v>
      </c>
      <c r="F2" s="35" t="s">
        <v>6</v>
      </c>
      <c r="G2" s="38" t="s">
        <v>7</v>
      </c>
      <c r="H2" s="69">
        <v>46106</v>
      </c>
      <c r="I2" s="69"/>
      <c r="J2" s="69"/>
      <c r="K2" s="69"/>
      <c r="M2" s="69">
        <v>46107</v>
      </c>
      <c r="N2" s="69"/>
      <c r="O2" s="69"/>
      <c r="P2" s="69"/>
      <c r="R2" s="69">
        <v>46108</v>
      </c>
      <c r="S2" s="69"/>
      <c r="T2" s="69"/>
      <c r="U2" s="69"/>
      <c r="W2" s="69">
        <v>46109</v>
      </c>
      <c r="X2" s="69"/>
      <c r="Y2" s="69"/>
      <c r="Z2" s="69"/>
      <c r="AB2" s="69">
        <v>46110</v>
      </c>
      <c r="AC2" s="69"/>
      <c r="AD2" s="69"/>
      <c r="AE2" s="69"/>
      <c r="AF2" s="57"/>
      <c r="AG2" s="69">
        <v>46111</v>
      </c>
      <c r="AH2" s="69"/>
      <c r="AI2" s="69"/>
      <c r="AJ2" s="69"/>
      <c r="AL2" s="69">
        <v>46112</v>
      </c>
      <c r="AM2" s="69"/>
      <c r="AN2" s="69"/>
      <c r="AO2" s="69"/>
    </row>
    <row r="3" spans="1:41" s="37" customFormat="1" ht="51.75" customHeight="1">
      <c r="A3" s="75"/>
      <c r="B3" s="76"/>
      <c r="C3" s="34"/>
      <c r="D3" s="26" t="s">
        <v>8</v>
      </c>
      <c r="E3" s="26" t="s">
        <v>8</v>
      </c>
      <c r="F3" s="35" t="s">
        <v>9</v>
      </c>
      <c r="G3" s="35" t="s">
        <v>10</v>
      </c>
      <c r="H3" s="36" t="s">
        <v>11</v>
      </c>
      <c r="I3" s="35" t="s">
        <v>12</v>
      </c>
      <c r="J3" s="35" t="s">
        <v>13</v>
      </c>
      <c r="K3" s="35" t="s">
        <v>14</v>
      </c>
      <c r="M3" s="36" t="s">
        <v>11</v>
      </c>
      <c r="N3" s="35" t="s">
        <v>12</v>
      </c>
      <c r="O3" s="35" t="s">
        <v>13</v>
      </c>
      <c r="P3" s="35" t="s">
        <v>14</v>
      </c>
      <c r="R3" s="36" t="s">
        <v>11</v>
      </c>
      <c r="S3" s="35" t="s">
        <v>12</v>
      </c>
      <c r="T3" s="35" t="s">
        <v>13</v>
      </c>
      <c r="U3" s="35" t="s">
        <v>14</v>
      </c>
      <c r="W3" s="36" t="s">
        <v>11</v>
      </c>
      <c r="X3" s="35" t="s">
        <v>12</v>
      </c>
      <c r="Y3" s="35" t="s">
        <v>13</v>
      </c>
      <c r="Z3" s="35" t="s">
        <v>14</v>
      </c>
      <c r="AB3" s="36" t="s">
        <v>11</v>
      </c>
      <c r="AC3" s="35" t="s">
        <v>12</v>
      </c>
      <c r="AD3" s="62" t="s">
        <v>13</v>
      </c>
      <c r="AE3" s="35" t="s">
        <v>14</v>
      </c>
      <c r="AF3" s="35"/>
      <c r="AG3" s="36" t="s">
        <v>11</v>
      </c>
      <c r="AH3" s="35" t="s">
        <v>12</v>
      </c>
      <c r="AI3" s="35" t="s">
        <v>13</v>
      </c>
      <c r="AJ3" s="35" t="s">
        <v>14</v>
      </c>
      <c r="AL3" s="36" t="s">
        <v>11</v>
      </c>
      <c r="AM3" s="35" t="s">
        <v>12</v>
      </c>
      <c r="AN3" s="35" t="s">
        <v>13</v>
      </c>
      <c r="AO3" s="35" t="s">
        <v>14</v>
      </c>
    </row>
    <row r="4" spans="1:41" s="10" customFormat="1">
      <c r="A4" s="64" t="s">
        <v>15</v>
      </c>
      <c r="B4" s="64"/>
      <c r="C4" s="64"/>
      <c r="D4" s="64"/>
      <c r="E4" s="64"/>
      <c r="F4" s="64"/>
      <c r="G4" s="64"/>
      <c r="H4" s="39">
        <f>SUM(H8:H60)</f>
        <v>70.306666666666672</v>
      </c>
      <c r="I4" s="40">
        <f>SUM(I8:I60)</f>
        <v>3099.6239999999998</v>
      </c>
      <c r="J4" s="40">
        <f>SUM(J8:J60)</f>
        <v>108786.814</v>
      </c>
      <c r="K4" s="40">
        <f>SUM(K8:K60)</f>
        <v>0</v>
      </c>
      <c r="L4" s="11"/>
      <c r="M4" s="39">
        <f>SUM(M8:M60)</f>
        <v>88.443333333333356</v>
      </c>
      <c r="N4" s="40">
        <f>SUM(N8:N60)</f>
        <v>3743.3060000000005</v>
      </c>
      <c r="O4" s="40">
        <f>SUM(O8:O60)</f>
        <v>109298.618</v>
      </c>
      <c r="P4" s="40">
        <f>SUM(P8:P60)</f>
        <v>0</v>
      </c>
      <c r="Q4" s="12"/>
      <c r="R4" s="39">
        <f>SUM(R8:R60)</f>
        <v>67.27</v>
      </c>
      <c r="S4" s="40">
        <f>SUM(S8:S60)</f>
        <v>2335.81</v>
      </c>
      <c r="T4" s="40">
        <f>SUM(T8:T60)</f>
        <v>111773.36</v>
      </c>
      <c r="U4" s="40">
        <f>SUM(U8:U60)</f>
        <v>0</v>
      </c>
      <c r="V4" s="12"/>
      <c r="W4" s="39">
        <f>SUM(W8:W60)</f>
        <v>126.10750000000002</v>
      </c>
      <c r="X4" s="40">
        <f>SUM(X8:X60)</f>
        <v>5129.4139999999998</v>
      </c>
      <c r="Y4" s="40">
        <f>SUM(Y8:Y60)</f>
        <v>107605.79599999999</v>
      </c>
      <c r="Z4" s="40">
        <f>SUM(Z8:Z60)</f>
        <v>5614</v>
      </c>
      <c r="AA4" s="12"/>
      <c r="AB4" s="39">
        <f>SUM(AB8:AB60)</f>
        <v>82.14</v>
      </c>
      <c r="AC4" s="40">
        <f>SUM(AC8:AC60)</f>
        <v>2340.0820000000003</v>
      </c>
      <c r="AD4" s="40">
        <f>SUM(AD8:AD60)</f>
        <v>101978.826</v>
      </c>
      <c r="AE4" s="40">
        <f>SUM(AE8:AE60)</f>
        <v>0</v>
      </c>
      <c r="AF4" s="40"/>
      <c r="AG4" s="12"/>
      <c r="AH4" s="12"/>
      <c r="AI4" s="12"/>
      <c r="AJ4" s="12"/>
      <c r="AL4" s="12"/>
      <c r="AM4" s="12"/>
      <c r="AN4" s="12"/>
      <c r="AO4" s="12"/>
    </row>
    <row r="5" spans="1:41" s="10" customFormat="1" ht="5.25" customHeight="1">
      <c r="A5" s="27"/>
      <c r="B5" s="27"/>
      <c r="C5" s="27"/>
      <c r="D5" s="27"/>
      <c r="E5" s="27"/>
      <c r="F5" s="27"/>
      <c r="G5" s="27"/>
      <c r="H5" s="28"/>
      <c r="I5" s="19"/>
      <c r="J5" s="19"/>
      <c r="K5" s="19"/>
      <c r="L5" s="28"/>
      <c r="M5" s="28"/>
      <c r="N5" s="19"/>
      <c r="O5" s="19"/>
      <c r="P5" s="19"/>
      <c r="S5" s="19"/>
      <c r="T5" s="19"/>
      <c r="U5" s="19"/>
      <c r="X5" s="19"/>
      <c r="Y5" s="19"/>
      <c r="Z5" s="19"/>
      <c r="AC5" s="19"/>
      <c r="AD5" s="63"/>
    </row>
    <row r="6" spans="1:41">
      <c r="A6" s="44" t="s">
        <v>16</v>
      </c>
      <c r="B6" s="1"/>
      <c r="C6" s="1"/>
      <c r="D6" s="1"/>
      <c r="E6" s="1"/>
      <c r="F6" s="17"/>
      <c r="G6" s="17"/>
      <c r="H6" s="32" t="s">
        <v>17</v>
      </c>
      <c r="I6" s="19"/>
      <c r="J6" s="19"/>
      <c r="K6" s="19"/>
      <c r="L6" s="8"/>
      <c r="M6" s="7"/>
      <c r="N6" s="19"/>
    </row>
    <row r="7" spans="1:41">
      <c r="H7" s="9" t="s">
        <v>18</v>
      </c>
    </row>
    <row r="8" spans="1:41" s="10" customFormat="1" ht="15">
      <c r="A8" s="5">
        <v>1</v>
      </c>
      <c r="B8" s="29" t="s">
        <v>19</v>
      </c>
      <c r="C8" s="29" t="s">
        <v>20</v>
      </c>
      <c r="D8" s="13"/>
      <c r="E8" s="13"/>
      <c r="F8" s="30" t="s">
        <v>21</v>
      </c>
      <c r="G8" s="6">
        <v>75</v>
      </c>
      <c r="H8" s="14">
        <f>2+(16/60)</f>
        <v>2.2666666666666666</v>
      </c>
      <c r="I8" s="20">
        <v>105</v>
      </c>
      <c r="J8" s="71">
        <v>2924</v>
      </c>
      <c r="K8" s="70"/>
      <c r="M8" s="41">
        <f>3+(19/60)</f>
        <v>3.3166666666666664</v>
      </c>
      <c r="N8" s="20">
        <v>160</v>
      </c>
      <c r="O8" s="78">
        <v>2661</v>
      </c>
      <c r="P8" s="70"/>
      <c r="R8" s="41">
        <v>0</v>
      </c>
      <c r="S8" s="18">
        <v>0</v>
      </c>
      <c r="T8" s="71">
        <v>4566</v>
      </c>
      <c r="U8" s="70"/>
      <c r="W8" s="41">
        <f>1+(10/60)</f>
        <v>1.1666666666666667</v>
      </c>
      <c r="X8" s="18">
        <v>51</v>
      </c>
      <c r="Y8" s="71">
        <v>5515</v>
      </c>
      <c r="Z8" s="70"/>
      <c r="AB8" s="41">
        <f>4+(0/60)</f>
        <v>4</v>
      </c>
      <c r="AC8" s="18">
        <v>185</v>
      </c>
      <c r="AD8" s="71">
        <v>5330</v>
      </c>
      <c r="AE8" s="70"/>
      <c r="AF8" s="58"/>
      <c r="AG8" s="10">
        <f>4+(18/60)</f>
        <v>4.3</v>
      </c>
    </row>
    <row r="9" spans="1:41" s="10" customFormat="1" ht="15">
      <c r="A9" s="5">
        <v>2</v>
      </c>
      <c r="B9" s="29" t="s">
        <v>19</v>
      </c>
      <c r="C9" s="29" t="s">
        <v>20</v>
      </c>
      <c r="D9" s="13"/>
      <c r="E9" s="13"/>
      <c r="F9" s="30" t="s">
        <v>22</v>
      </c>
      <c r="G9" s="6">
        <v>30</v>
      </c>
      <c r="H9" s="14">
        <f>2+(0/60)</f>
        <v>2</v>
      </c>
      <c r="I9" s="20"/>
      <c r="J9" s="71"/>
      <c r="K9" s="70"/>
      <c r="M9" s="41">
        <f>8+(0/60)</f>
        <v>8</v>
      </c>
      <c r="N9" s="20">
        <v>103</v>
      </c>
      <c r="O9" s="78"/>
      <c r="P9" s="70"/>
      <c r="R9" s="41">
        <f>4+(0/60)</f>
        <v>4</v>
      </c>
      <c r="S9" s="18">
        <v>95</v>
      </c>
      <c r="T9" s="71"/>
      <c r="U9" s="70"/>
      <c r="W9" s="41">
        <v>0</v>
      </c>
      <c r="X9" s="18">
        <v>0</v>
      </c>
      <c r="Y9" s="71"/>
      <c r="Z9" s="70"/>
      <c r="AB9" s="41">
        <v>0</v>
      </c>
      <c r="AC9" s="18">
        <v>0</v>
      </c>
      <c r="AD9" s="71"/>
      <c r="AE9" s="70"/>
      <c r="AF9" s="58"/>
    </row>
    <row r="10" spans="1:41" s="10" customFormat="1" ht="15">
      <c r="A10" s="5">
        <v>3</v>
      </c>
      <c r="B10" s="29" t="s">
        <v>19</v>
      </c>
      <c r="C10" s="29" t="s">
        <v>20</v>
      </c>
      <c r="D10" s="13"/>
      <c r="E10" s="13"/>
      <c r="F10" s="30" t="s">
        <v>23</v>
      </c>
      <c r="G10" s="6">
        <v>40</v>
      </c>
      <c r="H10" s="14">
        <v>0</v>
      </c>
      <c r="I10" s="20">
        <v>0</v>
      </c>
      <c r="J10" s="71">
        <v>0</v>
      </c>
      <c r="K10" s="70"/>
      <c r="M10" s="41">
        <v>0</v>
      </c>
      <c r="N10" s="20">
        <v>0</v>
      </c>
      <c r="O10" s="78"/>
      <c r="P10" s="70"/>
      <c r="R10" s="41">
        <v>0</v>
      </c>
      <c r="S10" s="18">
        <v>0</v>
      </c>
      <c r="T10" s="71"/>
      <c r="U10" s="70"/>
      <c r="W10" s="41">
        <v>0</v>
      </c>
      <c r="X10" s="18">
        <v>0</v>
      </c>
      <c r="Y10" s="71"/>
      <c r="Z10" s="70"/>
      <c r="AB10" s="41">
        <v>0</v>
      </c>
      <c r="AC10" s="18">
        <v>0</v>
      </c>
      <c r="AD10" s="71"/>
      <c r="AE10" s="70"/>
      <c r="AF10" s="58"/>
    </row>
    <row r="11" spans="1:41" s="10" customFormat="1" ht="15">
      <c r="A11" s="5">
        <v>4</v>
      </c>
      <c r="B11" s="29" t="s">
        <v>24</v>
      </c>
      <c r="C11" s="29" t="s">
        <v>20</v>
      </c>
      <c r="D11" s="13"/>
      <c r="E11" s="13"/>
      <c r="F11" s="30" t="s">
        <v>25</v>
      </c>
      <c r="G11" s="6">
        <v>60</v>
      </c>
      <c r="H11" s="14">
        <f>1+(7/60)</f>
        <v>1.1166666666666667</v>
      </c>
      <c r="I11" s="20">
        <v>22</v>
      </c>
      <c r="J11" s="20">
        <v>2146</v>
      </c>
      <c r="K11" s="20"/>
      <c r="M11" s="41">
        <f>4+(22/60)</f>
        <v>4.3666666666666663</v>
      </c>
      <c r="N11" s="20">
        <v>192</v>
      </c>
      <c r="O11" s="18">
        <v>2954</v>
      </c>
      <c r="P11" s="33"/>
      <c r="R11" s="41">
        <f>4+(7/30)</f>
        <v>4.2333333333333334</v>
      </c>
      <c r="S11" s="18">
        <v>90</v>
      </c>
      <c r="T11" s="46">
        <v>2864</v>
      </c>
      <c r="U11" s="33"/>
      <c r="W11" s="41">
        <f>8+(60/60)</f>
        <v>9</v>
      </c>
      <c r="X11" s="18">
        <v>378</v>
      </c>
      <c r="Y11" s="46">
        <v>2486</v>
      </c>
      <c r="Z11" s="33"/>
      <c r="AB11" s="41">
        <f>7+(28/60)</f>
        <v>7.4666666666666668</v>
      </c>
      <c r="AC11" s="18">
        <v>159</v>
      </c>
      <c r="AD11" s="46">
        <v>2327</v>
      </c>
      <c r="AE11" s="33"/>
      <c r="AF11" s="33"/>
    </row>
    <row r="12" spans="1:41" s="10" customFormat="1" ht="19.5" customHeight="1">
      <c r="A12" s="5">
        <v>5</v>
      </c>
      <c r="B12" t="s">
        <v>26</v>
      </c>
      <c r="C12" s="29" t="s">
        <v>20</v>
      </c>
      <c r="D12" s="13"/>
      <c r="E12" s="13"/>
      <c r="F12" s="30" t="s">
        <v>21</v>
      </c>
      <c r="G12" s="6">
        <v>70</v>
      </c>
      <c r="H12" s="41">
        <v>7.4</v>
      </c>
      <c r="I12" s="33">
        <v>309</v>
      </c>
      <c r="J12" s="33">
        <v>6809</v>
      </c>
      <c r="K12" s="33"/>
      <c r="M12" s="41">
        <v>8.18</v>
      </c>
      <c r="N12" s="33">
        <v>373</v>
      </c>
      <c r="O12" s="18">
        <v>6418</v>
      </c>
      <c r="P12" s="33"/>
      <c r="R12" s="41">
        <v>11.76</v>
      </c>
      <c r="S12" s="18">
        <v>418</v>
      </c>
      <c r="T12" s="46">
        <v>6100</v>
      </c>
      <c r="U12" s="33"/>
      <c r="W12" s="41">
        <v>8.0500000000000007</v>
      </c>
      <c r="X12" s="18">
        <v>386</v>
      </c>
      <c r="Y12" s="46">
        <v>5786</v>
      </c>
      <c r="Z12" s="33">
        <v>5614</v>
      </c>
      <c r="AB12" s="41">
        <v>8.42</v>
      </c>
      <c r="AC12" s="18">
        <v>205</v>
      </c>
      <c r="AD12" s="46">
        <v>5409</v>
      </c>
      <c r="AE12" s="33"/>
      <c r="AF12" s="33"/>
    </row>
    <row r="13" spans="1:41" s="10" customFormat="1" ht="15">
      <c r="A13" s="5">
        <v>6</v>
      </c>
      <c r="B13" t="s">
        <v>27</v>
      </c>
      <c r="C13" s="29" t="s">
        <v>20</v>
      </c>
      <c r="D13" s="13"/>
      <c r="E13" s="13"/>
      <c r="F13" s="30" t="s">
        <v>28</v>
      </c>
      <c r="G13" s="6">
        <v>13</v>
      </c>
      <c r="H13" s="42">
        <v>0</v>
      </c>
      <c r="I13" s="43">
        <v>0</v>
      </c>
      <c r="J13" s="43"/>
      <c r="K13" s="81"/>
      <c r="M13" s="41">
        <f>24/60</f>
        <v>0.4</v>
      </c>
      <c r="N13" s="43">
        <v>4.5460000000000003</v>
      </c>
      <c r="O13" s="68">
        <v>3041.01</v>
      </c>
      <c r="P13" s="81"/>
      <c r="R13" s="41">
        <v>0</v>
      </c>
      <c r="S13" s="18">
        <v>0</v>
      </c>
      <c r="T13" s="82">
        <v>2995.55</v>
      </c>
      <c r="U13" s="81"/>
      <c r="W13" s="41">
        <f>1+(52/60)</f>
        <v>1.8666666666666667</v>
      </c>
      <c r="X13" s="18">
        <v>18.184000000000001</v>
      </c>
      <c r="Y13" s="82">
        <v>2927.36</v>
      </c>
      <c r="Z13" s="81"/>
      <c r="AB13" s="41">
        <f>2+(8/60)</f>
        <v>2.1333333333333333</v>
      </c>
      <c r="AC13" s="18">
        <v>13.638</v>
      </c>
      <c r="AD13" s="82">
        <v>2872.808</v>
      </c>
      <c r="AE13" s="81"/>
      <c r="AF13" s="59"/>
    </row>
    <row r="14" spans="1:41" s="10" customFormat="1" ht="14.25" customHeight="1">
      <c r="A14" s="5">
        <v>7</v>
      </c>
      <c r="B14" t="s">
        <v>27</v>
      </c>
      <c r="C14" s="29" t="s">
        <v>20</v>
      </c>
      <c r="D14" s="13"/>
      <c r="E14" s="13"/>
      <c r="F14" s="30" t="s">
        <v>29</v>
      </c>
      <c r="G14" s="6">
        <v>55</v>
      </c>
      <c r="H14" s="42"/>
      <c r="I14" s="43"/>
      <c r="J14" s="43"/>
      <c r="K14" s="81"/>
      <c r="M14" s="41"/>
      <c r="N14" s="43"/>
      <c r="O14" s="68"/>
      <c r="P14" s="81"/>
      <c r="R14" s="41">
        <v>0</v>
      </c>
      <c r="S14" s="18">
        <v>0</v>
      </c>
      <c r="T14" s="82"/>
      <c r="U14" s="81"/>
      <c r="W14" s="41">
        <v>0</v>
      </c>
      <c r="X14" s="18"/>
      <c r="Y14" s="82"/>
      <c r="Z14" s="81"/>
      <c r="AB14" s="41">
        <v>0</v>
      </c>
      <c r="AC14" s="18">
        <v>0</v>
      </c>
      <c r="AD14" s="82"/>
      <c r="AE14" s="81"/>
      <c r="AF14" s="59"/>
    </row>
    <row r="15" spans="1:41" s="10" customFormat="1" ht="15">
      <c r="A15" s="5">
        <v>8</v>
      </c>
      <c r="B15" t="s">
        <v>27</v>
      </c>
      <c r="C15" s="29" t="s">
        <v>20</v>
      </c>
      <c r="D15" s="13"/>
      <c r="E15" s="13"/>
      <c r="F15" s="30" t="s">
        <v>30</v>
      </c>
      <c r="G15" s="6">
        <v>45.46</v>
      </c>
      <c r="H15" s="42">
        <v>0</v>
      </c>
      <c r="I15" s="43">
        <v>0</v>
      </c>
      <c r="J15" s="43">
        <v>3041.01</v>
      </c>
      <c r="K15" s="81"/>
      <c r="M15" s="41">
        <f>2+(45/60)</f>
        <v>2.75</v>
      </c>
      <c r="N15" s="43">
        <v>40.914000000000001</v>
      </c>
      <c r="O15" s="68"/>
      <c r="P15" s="81"/>
      <c r="R15" s="41">
        <v>0</v>
      </c>
      <c r="S15" s="18">
        <v>0</v>
      </c>
      <c r="T15" s="82"/>
      <c r="U15" s="81"/>
      <c r="W15" s="41">
        <f>1+(53/60)</f>
        <v>1.8833333333333333</v>
      </c>
      <c r="X15" s="18">
        <v>50.006</v>
      </c>
      <c r="Y15" s="82"/>
      <c r="Z15" s="81"/>
      <c r="AB15" s="41">
        <f>3+(26/60)</f>
        <v>3.4333333333333336</v>
      </c>
      <c r="AC15" s="18">
        <v>40.914000000000001</v>
      </c>
      <c r="AD15" s="82"/>
      <c r="AE15" s="81"/>
      <c r="AF15" s="59"/>
    </row>
    <row r="16" spans="1:41" s="10" customFormat="1" ht="15">
      <c r="A16" s="5">
        <v>9</v>
      </c>
      <c r="B16" t="s">
        <v>31</v>
      </c>
      <c r="C16" s="29" t="s">
        <v>20</v>
      </c>
      <c r="D16" s="13"/>
      <c r="E16" s="13"/>
      <c r="F16" s="30" t="s">
        <v>32</v>
      </c>
      <c r="G16" s="6">
        <v>69</v>
      </c>
      <c r="H16" s="41">
        <v>0</v>
      </c>
      <c r="I16" s="33">
        <v>0</v>
      </c>
      <c r="J16" s="70">
        <v>3145.712</v>
      </c>
      <c r="K16" s="33"/>
      <c r="M16" s="41">
        <f>2+(8/60)</f>
        <v>2.1333333333333333</v>
      </c>
      <c r="N16" s="33">
        <v>109.104</v>
      </c>
      <c r="O16" s="68">
        <v>5027.6360000000004</v>
      </c>
      <c r="P16" s="33"/>
      <c r="R16" s="41">
        <v>0</v>
      </c>
      <c r="S16" s="18">
        <v>0</v>
      </c>
      <c r="T16" s="65">
        <v>5027.6360000000004</v>
      </c>
      <c r="U16" s="68"/>
      <c r="W16" s="41">
        <v>0</v>
      </c>
      <c r="X16" s="18">
        <v>0</v>
      </c>
      <c r="Y16" s="65">
        <v>5027.6360000000004</v>
      </c>
      <c r="Z16" s="70"/>
      <c r="AB16" s="41">
        <v>0</v>
      </c>
      <c r="AC16" s="18">
        <v>0</v>
      </c>
      <c r="AD16" s="65">
        <v>5027.6360000000004</v>
      </c>
      <c r="AE16" s="70"/>
      <c r="AF16" s="58"/>
      <c r="AG16" s="41">
        <v>0</v>
      </c>
      <c r="AH16" s="18">
        <v>0</v>
      </c>
      <c r="AI16" s="65">
        <v>5027.6360000000004</v>
      </c>
    </row>
    <row r="17" spans="1:35" s="10" customFormat="1" ht="15">
      <c r="A17" s="5">
        <v>10</v>
      </c>
      <c r="B17" t="s">
        <v>31</v>
      </c>
      <c r="C17" s="29" t="s">
        <v>20</v>
      </c>
      <c r="D17" s="13"/>
      <c r="E17" s="13"/>
      <c r="F17" s="30" t="s">
        <v>32</v>
      </c>
      <c r="G17" s="6">
        <v>69</v>
      </c>
      <c r="H17" s="14">
        <v>0</v>
      </c>
      <c r="I17" s="20">
        <v>0</v>
      </c>
      <c r="J17" s="70"/>
      <c r="K17" s="20"/>
      <c r="M17" s="41">
        <f>2+(8/60)</f>
        <v>2.1333333333333333</v>
      </c>
      <c r="N17" s="20">
        <v>108.97199999999999</v>
      </c>
      <c r="O17" s="68"/>
      <c r="P17" s="33"/>
      <c r="R17" s="41">
        <v>0</v>
      </c>
      <c r="S17" s="18">
        <v>0</v>
      </c>
      <c r="T17" s="65"/>
      <c r="U17" s="68"/>
      <c r="W17" s="41">
        <v>0</v>
      </c>
      <c r="X17" s="18">
        <v>0</v>
      </c>
      <c r="Y17" s="65"/>
      <c r="Z17" s="70"/>
      <c r="AB17" s="41">
        <v>0</v>
      </c>
      <c r="AC17" s="18">
        <v>0</v>
      </c>
      <c r="AD17" s="65"/>
      <c r="AE17" s="70"/>
      <c r="AF17" s="58"/>
      <c r="AG17" s="41">
        <v>0</v>
      </c>
      <c r="AH17" s="18">
        <v>0</v>
      </c>
      <c r="AI17" s="65"/>
    </row>
    <row r="18" spans="1:35" s="10" customFormat="1" ht="15">
      <c r="A18" s="5">
        <v>12</v>
      </c>
      <c r="B18" t="s">
        <v>33</v>
      </c>
      <c r="C18" s="29" t="s">
        <v>20</v>
      </c>
      <c r="D18" s="13"/>
      <c r="E18" s="13"/>
      <c r="F18" s="30" t="s">
        <v>32</v>
      </c>
      <c r="G18" s="6">
        <v>70</v>
      </c>
      <c r="H18" s="14">
        <f>3+(1/60)</f>
        <v>3.0166666666666666</v>
      </c>
      <c r="I18" s="20">
        <v>182</v>
      </c>
      <c r="J18" s="20">
        <v>4501</v>
      </c>
      <c r="K18" s="70"/>
      <c r="M18" s="41">
        <f>2+(58/60)</f>
        <v>2.9666666666666668</v>
      </c>
      <c r="N18" s="20">
        <v>141</v>
      </c>
      <c r="O18" s="33">
        <v>4700</v>
      </c>
      <c r="P18" s="70"/>
      <c r="R18" s="41">
        <f>0+(50/60)</f>
        <v>0.83333333333333337</v>
      </c>
      <c r="S18" s="18">
        <v>45</v>
      </c>
      <c r="T18" s="33">
        <v>4610</v>
      </c>
      <c r="U18" s="70"/>
      <c r="W18" s="41">
        <f>9+(30/60)</f>
        <v>9.5</v>
      </c>
      <c r="X18" s="18">
        <v>395</v>
      </c>
      <c r="Y18" s="33">
        <v>4182</v>
      </c>
      <c r="Z18" s="70"/>
      <c r="AB18" s="41">
        <f>5+(13/60)</f>
        <v>5.2166666666666668</v>
      </c>
      <c r="AC18" s="18">
        <v>164</v>
      </c>
      <c r="AD18" s="71">
        <v>3787</v>
      </c>
      <c r="AE18" s="70"/>
      <c r="AF18" s="58"/>
      <c r="AG18" s="10">
        <f>12+(33/60)</f>
        <v>12.55</v>
      </c>
      <c r="AH18" s="10">
        <v>505</v>
      </c>
      <c r="AI18" s="64">
        <v>4064</v>
      </c>
    </row>
    <row r="19" spans="1:35" s="10" customFormat="1" ht="15">
      <c r="A19" s="5">
        <v>11</v>
      </c>
      <c r="B19" t="s">
        <v>33</v>
      </c>
      <c r="C19" s="29" t="s">
        <v>20</v>
      </c>
      <c r="D19" s="13"/>
      <c r="E19" s="13"/>
      <c r="F19" s="30" t="s">
        <v>34</v>
      </c>
      <c r="G19" s="6">
        <v>68</v>
      </c>
      <c r="H19" s="14">
        <f>3+(0/60)</f>
        <v>3</v>
      </c>
      <c r="I19" s="20">
        <v>114</v>
      </c>
      <c r="J19" s="20">
        <v>4387</v>
      </c>
      <c r="K19" s="70"/>
      <c r="M19" s="41">
        <f>1+(11/60)</f>
        <v>1.1833333333333333</v>
      </c>
      <c r="N19" s="20">
        <v>45</v>
      </c>
      <c r="O19" s="33">
        <v>4655</v>
      </c>
      <c r="P19" s="70"/>
      <c r="R19" s="41">
        <f>0+(56/60)</f>
        <v>0.93333333333333335</v>
      </c>
      <c r="S19" s="18">
        <v>33</v>
      </c>
      <c r="T19" s="33">
        <v>4577</v>
      </c>
      <c r="U19" s="70"/>
      <c r="W19" s="41">
        <f>4+(1/60)</f>
        <v>4.0166666666666666</v>
      </c>
      <c r="X19" s="18">
        <v>182</v>
      </c>
      <c r="Y19" s="33">
        <v>4000</v>
      </c>
      <c r="Z19" s="70"/>
      <c r="AB19" s="41">
        <f>1+(11/60)</f>
        <v>1.1833333333333333</v>
      </c>
      <c r="AC19" s="18">
        <v>49</v>
      </c>
      <c r="AD19" s="71"/>
      <c r="AE19" s="70"/>
      <c r="AF19" s="58"/>
      <c r="AG19" s="10">
        <f>4+(1/60)</f>
        <v>4.0166666666666666</v>
      </c>
      <c r="AH19" s="10">
        <v>238</v>
      </c>
      <c r="AI19" s="64"/>
    </row>
    <row r="20" spans="1:35" s="10" customFormat="1" ht="15">
      <c r="A20" s="5">
        <v>13</v>
      </c>
      <c r="B20" t="s">
        <v>33</v>
      </c>
      <c r="C20" s="29" t="s">
        <v>20</v>
      </c>
      <c r="D20" s="13"/>
      <c r="E20" s="13"/>
      <c r="F20" s="30" t="s">
        <v>35</v>
      </c>
      <c r="G20" s="6">
        <v>86</v>
      </c>
      <c r="H20" s="15">
        <v>0</v>
      </c>
      <c r="I20" s="21">
        <v>0</v>
      </c>
      <c r="J20" s="21">
        <v>0</v>
      </c>
      <c r="K20" s="70"/>
      <c r="M20" s="41">
        <v>0</v>
      </c>
      <c r="N20" s="22">
        <v>0</v>
      </c>
      <c r="O20" s="33">
        <v>0</v>
      </c>
      <c r="P20" s="70"/>
      <c r="R20" s="41">
        <v>0</v>
      </c>
      <c r="S20" s="18">
        <v>0</v>
      </c>
      <c r="T20" s="33"/>
      <c r="U20" s="70"/>
      <c r="W20" s="41">
        <v>0</v>
      </c>
      <c r="X20" s="18">
        <v>0</v>
      </c>
      <c r="Y20" s="33"/>
      <c r="Z20" s="70"/>
      <c r="AB20" s="41"/>
      <c r="AC20" s="18"/>
      <c r="AD20" s="71"/>
      <c r="AE20" s="70"/>
      <c r="AF20" s="58"/>
    </row>
    <row r="21" spans="1:35" s="10" customFormat="1" ht="15">
      <c r="A21" s="5">
        <v>14</v>
      </c>
      <c r="B21" t="s">
        <v>36</v>
      </c>
      <c r="C21" s="29" t="s">
        <v>20</v>
      </c>
      <c r="D21" s="13"/>
      <c r="E21" s="13"/>
      <c r="F21" s="30" t="s">
        <v>37</v>
      </c>
      <c r="G21" s="6">
        <v>18.184000000000001</v>
      </c>
      <c r="H21" s="15">
        <v>0</v>
      </c>
      <c r="I21" s="21">
        <v>0</v>
      </c>
      <c r="J21" s="21"/>
      <c r="K21" s="73"/>
      <c r="M21" s="41">
        <v>0</v>
      </c>
      <c r="N21" s="22">
        <v>0</v>
      </c>
      <c r="O21" s="18"/>
      <c r="P21" s="73"/>
      <c r="R21" s="41"/>
      <c r="S21" s="18"/>
      <c r="T21" s="72">
        <v>5041</v>
      </c>
      <c r="U21" s="73"/>
      <c r="W21" s="41">
        <f>4+(23/60)</f>
        <v>4.3833333333333337</v>
      </c>
      <c r="X21" s="18">
        <v>73</v>
      </c>
      <c r="Y21" s="72">
        <v>3858</v>
      </c>
      <c r="Z21" s="73"/>
      <c r="AB21" s="41">
        <f>6+(17/60)</f>
        <v>6.2833333333333332</v>
      </c>
      <c r="AC21" s="18">
        <v>103</v>
      </c>
      <c r="AD21" s="72">
        <v>3755</v>
      </c>
      <c r="AE21" s="73"/>
      <c r="AF21" s="60"/>
    </row>
    <row r="22" spans="1:35" s="10" customFormat="1" ht="15">
      <c r="A22" s="5">
        <v>15</v>
      </c>
      <c r="B22" t="s">
        <v>36</v>
      </c>
      <c r="C22" s="29" t="s">
        <v>20</v>
      </c>
      <c r="D22" s="13"/>
      <c r="E22" s="13"/>
      <c r="F22" s="30" t="s">
        <v>38</v>
      </c>
      <c r="G22" s="6">
        <v>90.92</v>
      </c>
      <c r="H22" s="15">
        <f>4+(26/60)</f>
        <v>4.4333333333333336</v>
      </c>
      <c r="I22" s="21">
        <v>318</v>
      </c>
      <c r="J22" s="21"/>
      <c r="K22" s="73"/>
      <c r="M22" s="41">
        <f>2+(55/60)</f>
        <v>2.9166666666666665</v>
      </c>
      <c r="N22" s="22">
        <v>227</v>
      </c>
      <c r="O22" s="18"/>
      <c r="P22" s="73"/>
      <c r="R22" s="41">
        <f>2+(43/60)</f>
        <v>2.7166666666666668</v>
      </c>
      <c r="S22" s="18">
        <v>173</v>
      </c>
      <c r="T22" s="72"/>
      <c r="U22" s="73"/>
      <c r="W22" s="41">
        <f>8+(45/60)</f>
        <v>8.75</v>
      </c>
      <c r="X22" s="18">
        <v>641</v>
      </c>
      <c r="Y22" s="72"/>
      <c r="Z22" s="73"/>
      <c r="AB22" s="41">
        <v>0</v>
      </c>
      <c r="AC22" s="18">
        <v>0</v>
      </c>
      <c r="AD22" s="72"/>
      <c r="AE22" s="73"/>
      <c r="AF22" s="60"/>
    </row>
    <row r="23" spans="1:35" s="10" customFormat="1" ht="15">
      <c r="A23" s="5">
        <v>16</v>
      </c>
      <c r="B23" t="s">
        <v>36</v>
      </c>
      <c r="C23" s="29" t="s">
        <v>20</v>
      </c>
      <c r="D23" s="13"/>
      <c r="E23" s="13"/>
      <c r="F23" s="30" t="s">
        <v>32</v>
      </c>
      <c r="G23" s="6">
        <v>77.281999999999996</v>
      </c>
      <c r="H23" s="15">
        <f>4+(28/60)</f>
        <v>4.4666666666666668</v>
      </c>
      <c r="I23" s="21">
        <v>209</v>
      </c>
      <c r="J23" s="21">
        <v>4723</v>
      </c>
      <c r="K23" s="73"/>
      <c r="M23" s="41">
        <f>2+(57/60)</f>
        <v>2.95</v>
      </c>
      <c r="N23" s="22">
        <v>159</v>
      </c>
      <c r="O23" s="18">
        <v>5337</v>
      </c>
      <c r="P23" s="73"/>
      <c r="R23" s="41">
        <f>2+(44/60)</f>
        <v>2.7333333333333334</v>
      </c>
      <c r="S23" s="18">
        <v>123</v>
      </c>
      <c r="T23" s="72"/>
      <c r="U23" s="73"/>
      <c r="W23" s="41">
        <f>8+(58/60)</f>
        <v>8.9666666666666668</v>
      </c>
      <c r="X23" s="18">
        <v>469</v>
      </c>
      <c r="Y23" s="72"/>
      <c r="Z23" s="73"/>
      <c r="AB23" s="41">
        <v>0</v>
      </c>
      <c r="AC23" s="18">
        <v>0</v>
      </c>
      <c r="AD23" s="72"/>
      <c r="AE23" s="73"/>
      <c r="AF23" s="60"/>
    </row>
    <row r="24" spans="1:35" s="10" customFormat="1" ht="15">
      <c r="A24" s="5">
        <v>17</v>
      </c>
      <c r="B24" t="s">
        <v>39</v>
      </c>
      <c r="C24" s="29" t="s">
        <v>20</v>
      </c>
      <c r="D24" s="13"/>
      <c r="E24" s="13"/>
      <c r="F24" s="30" t="s">
        <v>40</v>
      </c>
      <c r="G24" s="6">
        <v>18</v>
      </c>
      <c r="H24" s="15">
        <f>2+(40/60)</f>
        <v>2.6666666666666665</v>
      </c>
      <c r="I24" s="21">
        <v>136.30799999999999</v>
      </c>
      <c r="J24" s="21">
        <v>2627.42</v>
      </c>
      <c r="K24" s="21"/>
      <c r="M24" s="41">
        <f>1+(7/60)</f>
        <v>1.1166666666666667</v>
      </c>
      <c r="N24" s="22">
        <v>72.736000000000004</v>
      </c>
      <c r="O24" s="18">
        <v>2554.6840000000002</v>
      </c>
      <c r="P24" s="21"/>
      <c r="R24" s="41">
        <v>0</v>
      </c>
      <c r="S24" s="18">
        <v>0</v>
      </c>
      <c r="T24" s="22">
        <v>2554.6840000000002</v>
      </c>
      <c r="U24" s="21"/>
      <c r="W24" s="41">
        <f>2+(13/60)</f>
        <v>2.2166666666666668</v>
      </c>
      <c r="X24" s="18">
        <v>113.65</v>
      </c>
      <c r="Y24" s="22">
        <v>2441.0340000000001</v>
      </c>
      <c r="Z24" s="21"/>
      <c r="AB24" s="41">
        <v>0</v>
      </c>
      <c r="AC24" s="18">
        <v>0</v>
      </c>
      <c r="AD24" s="22">
        <v>2441.0340000000001</v>
      </c>
      <c r="AE24" s="21"/>
      <c r="AF24" s="21"/>
      <c r="AG24" s="10">
        <f>7+(58/60)</f>
        <v>7.9666666666666668</v>
      </c>
      <c r="AH24" s="10">
        <v>545.47199999999998</v>
      </c>
      <c r="AI24" s="10">
        <v>1895.5619999999999</v>
      </c>
    </row>
    <row r="25" spans="1:35" s="10" customFormat="1" ht="15">
      <c r="A25" s="5">
        <v>18</v>
      </c>
      <c r="B25" t="s">
        <v>41</v>
      </c>
      <c r="C25" s="29" t="s">
        <v>20</v>
      </c>
      <c r="D25" s="13"/>
      <c r="E25" s="13"/>
      <c r="F25" s="30" t="s">
        <v>42</v>
      </c>
      <c r="G25" s="6">
        <v>22</v>
      </c>
      <c r="H25" s="15">
        <v>4.03</v>
      </c>
      <c r="I25" s="21">
        <v>105</v>
      </c>
      <c r="J25" s="21">
        <v>1912.5</v>
      </c>
      <c r="K25" s="73"/>
      <c r="M25" s="41">
        <v>4.09</v>
      </c>
      <c r="N25" s="22">
        <v>107.5</v>
      </c>
      <c r="O25" s="79">
        <v>1650</v>
      </c>
      <c r="P25" s="73"/>
      <c r="R25" s="41">
        <v>0</v>
      </c>
      <c r="S25" s="18">
        <v>0</v>
      </c>
      <c r="T25" s="72">
        <v>2650</v>
      </c>
      <c r="U25" s="73"/>
      <c r="W25" s="41">
        <v>4.54</v>
      </c>
      <c r="X25" s="18">
        <v>112.5</v>
      </c>
      <c r="Y25" s="72">
        <v>2425</v>
      </c>
      <c r="Z25" s="73"/>
      <c r="AB25" s="41">
        <v>3.12</v>
      </c>
      <c r="AC25" s="18">
        <v>50</v>
      </c>
      <c r="AD25" s="72">
        <v>2300</v>
      </c>
      <c r="AE25" s="73"/>
      <c r="AF25" s="60"/>
    </row>
    <row r="26" spans="1:35" s="10" customFormat="1" ht="15">
      <c r="A26" s="5">
        <v>19</v>
      </c>
      <c r="B26" t="s">
        <v>41</v>
      </c>
      <c r="C26" s="29" t="s">
        <v>20</v>
      </c>
      <c r="D26" s="13"/>
      <c r="E26" s="13"/>
      <c r="F26" s="30" t="s">
        <v>29</v>
      </c>
      <c r="G26" s="6">
        <v>32</v>
      </c>
      <c r="H26" s="15">
        <v>4.3499999999999996</v>
      </c>
      <c r="I26" s="21">
        <v>97.5</v>
      </c>
      <c r="J26" s="21">
        <v>1913</v>
      </c>
      <c r="K26" s="73"/>
      <c r="M26" s="41">
        <v>4.09</v>
      </c>
      <c r="N26" s="22">
        <v>140</v>
      </c>
      <c r="O26" s="79"/>
      <c r="P26" s="73"/>
      <c r="R26" s="41">
        <v>0</v>
      </c>
      <c r="S26" s="18">
        <v>0</v>
      </c>
      <c r="T26" s="72"/>
      <c r="U26" s="73"/>
      <c r="W26" s="41">
        <v>4.54</v>
      </c>
      <c r="X26" s="18">
        <v>112.5</v>
      </c>
      <c r="Y26" s="72"/>
      <c r="Z26" s="73"/>
      <c r="AB26" s="41">
        <v>3.12</v>
      </c>
      <c r="AC26" s="18">
        <v>75</v>
      </c>
      <c r="AD26" s="72"/>
      <c r="AE26" s="73"/>
      <c r="AF26" s="60"/>
    </row>
    <row r="27" spans="1:35" s="10" customFormat="1" ht="15">
      <c r="A27" s="5">
        <v>20</v>
      </c>
      <c r="B27" t="s">
        <v>43</v>
      </c>
      <c r="C27" s="29" t="s">
        <v>20</v>
      </c>
      <c r="D27" s="13"/>
      <c r="E27" s="13"/>
      <c r="F27" s="30" t="s">
        <v>28</v>
      </c>
      <c r="G27" s="6">
        <v>13.65</v>
      </c>
      <c r="H27" s="15">
        <v>0</v>
      </c>
      <c r="I27" s="21">
        <v>0</v>
      </c>
      <c r="J27" s="77">
        <v>2837.5</v>
      </c>
      <c r="K27" s="73"/>
      <c r="M27" s="41">
        <v>0</v>
      </c>
      <c r="N27" s="22">
        <v>0</v>
      </c>
      <c r="O27" s="80">
        <v>2678.75</v>
      </c>
      <c r="P27" s="73"/>
      <c r="R27" s="41">
        <v>0</v>
      </c>
      <c r="S27" s="18">
        <v>0</v>
      </c>
      <c r="T27" s="74">
        <v>2678.75</v>
      </c>
      <c r="U27" s="73"/>
      <c r="W27" s="41">
        <f>1+(4/60)</f>
        <v>1.0666666666666667</v>
      </c>
      <c r="X27" s="56">
        <v>9.1</v>
      </c>
      <c r="Y27" s="74">
        <v>2360.25</v>
      </c>
      <c r="Z27" s="73"/>
      <c r="AB27" s="41">
        <v>0</v>
      </c>
      <c r="AC27" s="18">
        <v>0</v>
      </c>
      <c r="AD27" s="74">
        <v>2360.25</v>
      </c>
      <c r="AE27" s="73"/>
      <c r="AF27" s="60"/>
      <c r="AG27" s="10">
        <v>0</v>
      </c>
      <c r="AH27" s="10">
        <v>0</v>
      </c>
      <c r="AI27" s="64">
        <v>1882.5</v>
      </c>
    </row>
    <row r="28" spans="1:35" s="10" customFormat="1" ht="15">
      <c r="A28" s="5">
        <v>21</v>
      </c>
      <c r="B28" t="s">
        <v>43</v>
      </c>
      <c r="C28" s="29" t="s">
        <v>20</v>
      </c>
      <c r="D28" s="13"/>
      <c r="E28" s="13"/>
      <c r="F28" s="30" t="s">
        <v>21</v>
      </c>
      <c r="G28" s="6">
        <v>59.15</v>
      </c>
      <c r="H28" s="15">
        <f>2+(56/60)</f>
        <v>2.9333333333333336</v>
      </c>
      <c r="I28" s="15">
        <v>95.05</v>
      </c>
      <c r="J28" s="77"/>
      <c r="K28" s="73"/>
      <c r="M28" s="41">
        <f>1+(42/60)</f>
        <v>1.7</v>
      </c>
      <c r="N28" s="31">
        <v>36.4</v>
      </c>
      <c r="O28" s="80"/>
      <c r="P28" s="73"/>
      <c r="R28" s="41">
        <v>0.98</v>
      </c>
      <c r="S28" s="10">
        <v>31.85</v>
      </c>
      <c r="T28" s="74"/>
      <c r="U28" s="73"/>
      <c r="W28" s="41">
        <f>14+(3/60)</f>
        <v>14.05</v>
      </c>
      <c r="X28" s="10">
        <v>341.25</v>
      </c>
      <c r="Y28" s="74"/>
      <c r="Z28" s="73"/>
      <c r="AB28" s="41">
        <f>2+(23/60)</f>
        <v>2.3833333333333333</v>
      </c>
      <c r="AC28" s="18">
        <v>68.25</v>
      </c>
      <c r="AD28" s="74"/>
      <c r="AE28" s="73"/>
      <c r="AF28" s="60"/>
      <c r="AG28" s="10">
        <f>16+(24/60)</f>
        <v>16.399999999999999</v>
      </c>
      <c r="AH28" s="10">
        <v>436.8</v>
      </c>
      <c r="AI28" s="64"/>
    </row>
    <row r="29" spans="1:35" s="10" customFormat="1" ht="15">
      <c r="A29" s="5">
        <v>22</v>
      </c>
      <c r="B29" t="s">
        <v>44</v>
      </c>
      <c r="C29" s="29" t="s">
        <v>20</v>
      </c>
      <c r="D29" s="16"/>
      <c r="E29" s="16"/>
      <c r="F29" s="30" t="s">
        <v>25</v>
      </c>
      <c r="G29" s="6">
        <v>54</v>
      </c>
      <c r="H29" s="15">
        <v>5.91</v>
      </c>
      <c r="I29" s="21">
        <v>268.45</v>
      </c>
      <c r="J29" s="21">
        <v>3355.3</v>
      </c>
      <c r="K29" s="73"/>
      <c r="M29" s="41">
        <v>7.36</v>
      </c>
      <c r="N29" s="22">
        <v>349.75</v>
      </c>
      <c r="O29" s="10">
        <v>3005.55</v>
      </c>
      <c r="P29" s="73"/>
      <c r="R29" s="41">
        <v>12.28</v>
      </c>
      <c r="S29" s="18">
        <v>359.45</v>
      </c>
      <c r="T29" s="72">
        <v>2555.1</v>
      </c>
      <c r="U29" s="73"/>
      <c r="W29" s="41">
        <v>9.25</v>
      </c>
      <c r="X29" s="18">
        <v>353.9</v>
      </c>
      <c r="Y29" s="72">
        <v>2201.1999999999998</v>
      </c>
      <c r="Z29" s="73"/>
      <c r="AB29" s="41">
        <v>5.01</v>
      </c>
      <c r="AC29" s="18">
        <v>95.55</v>
      </c>
      <c r="AD29" s="72">
        <v>2105.65</v>
      </c>
      <c r="AE29" s="73"/>
      <c r="AF29" s="60"/>
      <c r="AG29" s="10">
        <v>9.5</v>
      </c>
      <c r="AH29" s="10">
        <v>418.6</v>
      </c>
      <c r="AI29" s="10">
        <v>1687.05</v>
      </c>
    </row>
    <row r="30" spans="1:35" s="10" customFormat="1" ht="15">
      <c r="A30" s="5">
        <v>23</v>
      </c>
      <c r="B30" t="s">
        <v>44</v>
      </c>
      <c r="C30" s="29" t="s">
        <v>20</v>
      </c>
      <c r="D30" s="16"/>
      <c r="E30" s="16"/>
      <c r="F30" s="30" t="s">
        <v>25</v>
      </c>
      <c r="G30" s="6">
        <v>59</v>
      </c>
      <c r="I30" s="18"/>
      <c r="J30" s="18"/>
      <c r="K30" s="73"/>
      <c r="M30" s="41"/>
      <c r="N30" s="6"/>
      <c r="O30" s="18"/>
      <c r="P30" s="73"/>
      <c r="R30" s="41"/>
      <c r="S30" s="18"/>
      <c r="T30" s="72"/>
      <c r="U30" s="73"/>
      <c r="W30" s="41"/>
      <c r="X30" s="18"/>
      <c r="Y30" s="72"/>
      <c r="Z30" s="73"/>
      <c r="AB30" s="41"/>
      <c r="AC30" s="18"/>
      <c r="AD30" s="72"/>
      <c r="AE30" s="73"/>
      <c r="AF30" s="60"/>
    </row>
    <row r="31" spans="1:35" s="10" customFormat="1" ht="15">
      <c r="A31" s="5">
        <v>24</v>
      </c>
      <c r="B31" t="s">
        <v>45</v>
      </c>
      <c r="C31" s="29" t="s">
        <v>20</v>
      </c>
      <c r="F31" s="30" t="s">
        <v>25</v>
      </c>
      <c r="G31" s="6">
        <v>59.1</v>
      </c>
      <c r="H31" s="10">
        <v>3.9</v>
      </c>
      <c r="I31" s="18">
        <v>181.84</v>
      </c>
      <c r="J31" s="18">
        <v>2650.018</v>
      </c>
      <c r="K31" s="18"/>
      <c r="M31" s="41">
        <v>8.4</v>
      </c>
      <c r="N31" s="18">
        <v>390.88400000000001</v>
      </c>
      <c r="O31" s="18">
        <v>2259.134</v>
      </c>
      <c r="P31" s="18"/>
      <c r="R31" s="41">
        <v>6.4</v>
      </c>
      <c r="S31" s="18">
        <v>277.28199999999998</v>
      </c>
      <c r="T31" s="45">
        <v>2981.8519999999999</v>
      </c>
      <c r="U31" s="18"/>
      <c r="W31" s="41">
        <v>4</v>
      </c>
      <c r="X31" s="18">
        <v>254.54</v>
      </c>
      <c r="Y31" s="45">
        <v>2727.3119999999999</v>
      </c>
      <c r="Z31" s="18"/>
      <c r="AB31" s="41">
        <v>6.01</v>
      </c>
      <c r="AC31" s="18">
        <v>222.73</v>
      </c>
      <c r="AD31" s="45">
        <v>2504.5279999999998</v>
      </c>
      <c r="AE31" s="18"/>
      <c r="AF31" s="18"/>
      <c r="AG31" s="10">
        <v>4.2</v>
      </c>
      <c r="AH31" s="10">
        <v>295.44200000000001</v>
      </c>
      <c r="AI31" s="10">
        <v>2209.14</v>
      </c>
    </row>
    <row r="32" spans="1:35" s="10" customFormat="1" ht="15">
      <c r="A32" s="5">
        <v>25</v>
      </c>
      <c r="B32" t="s">
        <v>46</v>
      </c>
      <c r="C32" s="29" t="s">
        <v>20</v>
      </c>
      <c r="F32" s="30" t="s">
        <v>47</v>
      </c>
      <c r="G32" s="6">
        <v>25</v>
      </c>
      <c r="H32" s="10">
        <v>0</v>
      </c>
      <c r="I32" s="18">
        <v>0</v>
      </c>
      <c r="J32" s="65">
        <v>4800</v>
      </c>
      <c r="K32" s="68"/>
      <c r="M32" s="41">
        <v>0</v>
      </c>
      <c r="N32" s="18">
        <v>0</v>
      </c>
      <c r="O32" s="67">
        <v>4590</v>
      </c>
      <c r="P32" s="68"/>
      <c r="R32" s="41">
        <v>0</v>
      </c>
      <c r="S32" s="18"/>
      <c r="T32" s="65">
        <v>4300</v>
      </c>
      <c r="U32" s="68"/>
      <c r="W32" s="41"/>
      <c r="X32" s="18"/>
      <c r="Y32" s="65">
        <v>3900</v>
      </c>
      <c r="Z32" s="68"/>
      <c r="AB32" s="41"/>
      <c r="AC32" s="18"/>
      <c r="AD32" s="65">
        <v>3550</v>
      </c>
      <c r="AE32" s="68"/>
      <c r="AF32" s="6"/>
    </row>
    <row r="33" spans="1:35" s="10" customFormat="1" ht="15">
      <c r="A33" s="5">
        <v>26</v>
      </c>
      <c r="B33" t="s">
        <v>46</v>
      </c>
      <c r="C33" s="29" t="s">
        <v>20</v>
      </c>
      <c r="F33" s="30" t="s">
        <v>48</v>
      </c>
      <c r="G33" s="6">
        <v>60</v>
      </c>
      <c r="H33" s="10">
        <f>7+(37/60)</f>
        <v>7.6166666666666671</v>
      </c>
      <c r="I33" s="18">
        <v>340</v>
      </c>
      <c r="J33" s="65"/>
      <c r="K33" s="68"/>
      <c r="M33" s="41">
        <f>6+(15/60)</f>
        <v>6.25</v>
      </c>
      <c r="N33" s="18">
        <v>320</v>
      </c>
      <c r="O33" s="67"/>
      <c r="P33" s="68"/>
      <c r="R33" s="41">
        <f>7+(59/60)</f>
        <v>7.9833333333333334</v>
      </c>
      <c r="S33" s="18">
        <v>290</v>
      </c>
      <c r="T33" s="65"/>
      <c r="U33" s="68"/>
      <c r="W33" s="41">
        <f>8+(47/60)</f>
        <v>8.7833333333333332</v>
      </c>
      <c r="X33" s="18">
        <v>300</v>
      </c>
      <c r="Y33" s="65"/>
      <c r="Z33" s="68"/>
      <c r="AB33" s="41">
        <f>10+(29/60)</f>
        <v>10.483333333333333</v>
      </c>
      <c r="AC33" s="18">
        <v>350</v>
      </c>
      <c r="AD33" s="65"/>
      <c r="AE33" s="68"/>
      <c r="AF33" s="6"/>
      <c r="AG33" s="41">
        <f>11+(31/60)</f>
        <v>11.516666666666667</v>
      </c>
      <c r="AH33" s="10">
        <v>470</v>
      </c>
      <c r="AI33" s="10">
        <v>3080</v>
      </c>
    </row>
    <row r="34" spans="1:35" s="10" customFormat="1" ht="15">
      <c r="A34" s="5">
        <v>27</v>
      </c>
      <c r="B34" t="s">
        <v>49</v>
      </c>
      <c r="C34" s="29" t="s">
        <v>20</v>
      </c>
      <c r="F34" s="30" t="s">
        <v>50</v>
      </c>
      <c r="G34" s="6">
        <v>73</v>
      </c>
      <c r="H34" s="10">
        <v>0.7</v>
      </c>
      <c r="I34" s="18">
        <v>47</v>
      </c>
      <c r="J34" s="65">
        <v>1667</v>
      </c>
      <c r="K34" s="68"/>
      <c r="M34" s="41">
        <v>1.02</v>
      </c>
      <c r="N34" s="18">
        <v>52</v>
      </c>
      <c r="O34" s="67">
        <v>2460</v>
      </c>
      <c r="P34" s="68"/>
      <c r="R34" s="41">
        <v>0</v>
      </c>
      <c r="S34" s="18">
        <v>0</v>
      </c>
      <c r="T34" s="65">
        <v>2452</v>
      </c>
      <c r="U34" s="68"/>
      <c r="W34" s="41">
        <f>2+(0.25/60)</f>
        <v>2.0041666666666669</v>
      </c>
      <c r="X34" s="18">
        <v>164</v>
      </c>
      <c r="Y34" s="65">
        <v>2673</v>
      </c>
      <c r="Z34" s="68"/>
      <c r="AB34" s="41">
        <f>2+(11/60)</f>
        <v>2.1833333333333331</v>
      </c>
      <c r="AC34" s="18">
        <v>145</v>
      </c>
      <c r="AD34" s="65">
        <v>2528</v>
      </c>
      <c r="AE34" s="68"/>
      <c r="AF34" s="6"/>
    </row>
    <row r="35" spans="1:35" s="10" customFormat="1" ht="15">
      <c r="A35" s="5">
        <v>28</v>
      </c>
      <c r="B35" t="s">
        <v>49</v>
      </c>
      <c r="C35" s="29" t="s">
        <v>20</v>
      </c>
      <c r="F35" s="30" t="s">
        <v>51</v>
      </c>
      <c r="G35" s="6">
        <v>60</v>
      </c>
      <c r="H35" s="10">
        <v>0</v>
      </c>
      <c r="I35" s="18">
        <v>0</v>
      </c>
      <c r="J35" s="65"/>
      <c r="K35" s="68"/>
      <c r="M35" s="41">
        <v>1.22</v>
      </c>
      <c r="N35" s="18">
        <v>70</v>
      </c>
      <c r="O35" s="67"/>
      <c r="P35" s="68"/>
      <c r="R35" s="41">
        <v>0</v>
      </c>
      <c r="S35" s="18">
        <v>0</v>
      </c>
      <c r="T35" s="65"/>
      <c r="U35" s="68"/>
      <c r="W35" s="41">
        <v>0</v>
      </c>
      <c r="X35" s="18">
        <v>0</v>
      </c>
      <c r="Y35" s="65"/>
      <c r="Z35" s="68"/>
      <c r="AB35" s="41">
        <v>0</v>
      </c>
      <c r="AC35" s="18">
        <v>0</v>
      </c>
      <c r="AD35" s="65"/>
      <c r="AE35" s="68"/>
      <c r="AF35" s="6"/>
    </row>
    <row r="36" spans="1:35" s="10" customFormat="1" ht="15">
      <c r="A36" s="5">
        <v>29</v>
      </c>
      <c r="B36" t="s">
        <v>52</v>
      </c>
      <c r="C36" s="29" t="s">
        <v>20</v>
      </c>
      <c r="F36" s="30" t="s">
        <v>53</v>
      </c>
      <c r="G36" s="6">
        <v>81.828000000000003</v>
      </c>
      <c r="H36" s="10">
        <f>5+(37/60)</f>
        <v>5.6166666666666671</v>
      </c>
      <c r="I36" s="18">
        <v>272.7</v>
      </c>
      <c r="J36" s="18">
        <v>2181.7800000000002</v>
      </c>
      <c r="K36" s="18"/>
      <c r="M36" s="41">
        <f>5+(41/60)</f>
        <v>5.6833333333333336</v>
      </c>
      <c r="N36" s="18">
        <v>295.31</v>
      </c>
      <c r="O36" s="18">
        <v>1886.47</v>
      </c>
      <c r="P36" s="18"/>
      <c r="R36" s="41">
        <f>7+(43/60)</f>
        <v>7.7166666666666668</v>
      </c>
      <c r="S36" s="18">
        <v>227.22800000000001</v>
      </c>
      <c r="T36" s="45">
        <v>2572.8679999999999</v>
      </c>
      <c r="U36" s="18"/>
      <c r="W36" s="41">
        <f>8+(22/60)</f>
        <v>8.3666666666666671</v>
      </c>
      <c r="X36" s="18">
        <v>472.78399999999999</v>
      </c>
      <c r="Y36" s="45">
        <v>2100.0839999999998</v>
      </c>
      <c r="Z36" s="18"/>
      <c r="AB36" s="41">
        <v>0</v>
      </c>
      <c r="AC36" s="18">
        <v>0</v>
      </c>
      <c r="AD36" s="45">
        <v>3100</v>
      </c>
      <c r="AE36" s="18"/>
      <c r="AF36" s="18"/>
      <c r="AG36" s="10">
        <f>8+(3/60)</f>
        <v>8.0500000000000007</v>
      </c>
      <c r="AH36" s="10">
        <v>454.55200000000002</v>
      </c>
      <c r="AI36" s="10">
        <v>2645.5320000000002</v>
      </c>
    </row>
    <row r="37" spans="1:35" s="50" customFormat="1" ht="15">
      <c r="A37" s="47">
        <v>30</v>
      </c>
      <c r="B37" s="48" t="s">
        <v>54</v>
      </c>
      <c r="C37" s="49" t="s">
        <v>20</v>
      </c>
      <c r="F37" s="51" t="s">
        <v>25</v>
      </c>
      <c r="G37" s="52">
        <v>59</v>
      </c>
      <c r="H37" s="50">
        <f>1+24/60</f>
        <v>1.4</v>
      </c>
      <c r="I37" s="53">
        <v>141</v>
      </c>
      <c r="J37" s="53">
        <v>1619</v>
      </c>
      <c r="K37" s="53"/>
      <c r="M37" s="54">
        <f>1+(24/60)</f>
        <v>1.4</v>
      </c>
      <c r="N37" s="53">
        <v>86</v>
      </c>
      <c r="O37" s="53">
        <v>1533</v>
      </c>
      <c r="P37" s="53"/>
      <c r="R37" s="54">
        <f>0+(51/60)</f>
        <v>0.85</v>
      </c>
      <c r="S37" s="53">
        <v>32</v>
      </c>
      <c r="T37" s="55">
        <v>1501</v>
      </c>
      <c r="U37" s="53"/>
      <c r="W37" s="54">
        <f>9+(10/60)</f>
        <v>9.1666666666666661</v>
      </c>
      <c r="X37" s="53">
        <v>246</v>
      </c>
      <c r="Y37" s="55">
        <v>1255</v>
      </c>
      <c r="Z37" s="53"/>
      <c r="AB37" s="54">
        <f>5+(8/60)</f>
        <v>5.1333333333333337</v>
      </c>
      <c r="AC37" s="53">
        <v>95</v>
      </c>
      <c r="AD37" s="55">
        <v>1160</v>
      </c>
      <c r="AE37" s="53"/>
      <c r="AF37" s="53"/>
      <c r="AG37" s="50">
        <f>8+(7/60)</f>
        <v>8.1166666666666671</v>
      </c>
      <c r="AH37" s="50">
        <v>77</v>
      </c>
      <c r="AI37" s="50">
        <v>1867</v>
      </c>
    </row>
    <row r="38" spans="1:35" s="10" customFormat="1" ht="15">
      <c r="A38" s="5">
        <v>31</v>
      </c>
      <c r="B38" t="s">
        <v>55</v>
      </c>
      <c r="C38" s="29" t="s">
        <v>20</v>
      </c>
      <c r="F38" s="30" t="s">
        <v>25</v>
      </c>
      <c r="G38" s="6">
        <v>45</v>
      </c>
      <c r="H38" s="10">
        <f>0+(35/60)</f>
        <v>0.58333333333333337</v>
      </c>
      <c r="I38" s="18">
        <v>22.73</v>
      </c>
      <c r="J38" s="65">
        <v>4777.6540000000005</v>
      </c>
      <c r="K38" s="68"/>
      <c r="M38" s="41">
        <f>1+(32/60)</f>
        <v>1.5333333333333332</v>
      </c>
      <c r="N38" s="18">
        <v>68.19</v>
      </c>
      <c r="O38" s="67">
        <v>5209.4639999999999</v>
      </c>
      <c r="P38" s="68"/>
      <c r="R38" s="41">
        <v>0</v>
      </c>
      <c r="S38" s="18">
        <v>0</v>
      </c>
      <c r="T38" s="65">
        <v>5209</v>
      </c>
      <c r="U38" s="68"/>
      <c r="W38" s="41">
        <v>0</v>
      </c>
      <c r="X38" s="18">
        <v>0</v>
      </c>
      <c r="Y38" s="65">
        <v>5209</v>
      </c>
      <c r="Z38" s="68"/>
      <c r="AB38" s="41">
        <v>0</v>
      </c>
      <c r="AC38" s="18">
        <v>0</v>
      </c>
      <c r="AD38" s="65">
        <v>5209</v>
      </c>
      <c r="AE38" s="68"/>
      <c r="AF38" s="6"/>
    </row>
    <row r="39" spans="1:35" s="10" customFormat="1" ht="15">
      <c r="A39" s="5">
        <v>32</v>
      </c>
      <c r="B39" t="s">
        <v>55</v>
      </c>
      <c r="C39" s="29" t="s">
        <v>20</v>
      </c>
      <c r="F39" s="30" t="s">
        <v>38</v>
      </c>
      <c r="G39" s="6">
        <v>105</v>
      </c>
      <c r="H39" s="10">
        <f>0+(35/60)</f>
        <v>0.58333333333333337</v>
      </c>
      <c r="I39" s="18">
        <v>68.046000000000006</v>
      </c>
      <c r="J39" s="65"/>
      <c r="K39" s="68"/>
      <c r="M39" s="41">
        <v>0</v>
      </c>
      <c r="N39" s="18">
        <v>0</v>
      </c>
      <c r="O39" s="67"/>
      <c r="P39" s="68"/>
      <c r="R39" s="41">
        <v>0</v>
      </c>
      <c r="S39" s="18">
        <v>0</v>
      </c>
      <c r="T39" s="65"/>
      <c r="U39" s="68"/>
      <c r="W39" s="41">
        <v>0</v>
      </c>
      <c r="X39" s="18">
        <v>0</v>
      </c>
      <c r="Y39" s="65"/>
      <c r="Z39" s="68"/>
      <c r="AB39" s="41">
        <v>0</v>
      </c>
      <c r="AC39" s="18">
        <v>0</v>
      </c>
      <c r="AD39" s="65"/>
      <c r="AE39" s="68"/>
      <c r="AF39" s="6"/>
    </row>
    <row r="40" spans="1:35" s="10" customFormat="1" ht="15">
      <c r="A40" s="5">
        <v>33</v>
      </c>
      <c r="B40" t="s">
        <v>56</v>
      </c>
      <c r="C40" s="29" t="s">
        <v>57</v>
      </c>
      <c r="F40" s="30" t="s">
        <v>21</v>
      </c>
      <c r="G40" s="6">
        <v>68</v>
      </c>
      <c r="H40" s="10">
        <v>0</v>
      </c>
      <c r="I40" s="18">
        <v>0</v>
      </c>
      <c r="J40" s="18">
        <v>1955</v>
      </c>
      <c r="K40" s="18"/>
      <c r="M40" s="41">
        <f>1+(59/60)</f>
        <v>1.9833333333333334</v>
      </c>
      <c r="N40" s="18">
        <v>55</v>
      </c>
      <c r="O40" s="18">
        <v>1900</v>
      </c>
      <c r="P40" s="18"/>
      <c r="R40" s="41">
        <f>3+(6/60)</f>
        <v>3.1</v>
      </c>
      <c r="S40" s="18">
        <v>118</v>
      </c>
      <c r="T40" s="45">
        <v>1782</v>
      </c>
      <c r="U40" s="18"/>
      <c r="W40" s="41">
        <v>0</v>
      </c>
      <c r="X40" s="18">
        <v>0</v>
      </c>
      <c r="Y40" s="45">
        <v>1782</v>
      </c>
      <c r="Z40" s="18"/>
      <c r="AB40" s="41">
        <v>0</v>
      </c>
      <c r="AC40" s="18">
        <v>0</v>
      </c>
      <c r="AD40" s="45">
        <v>1782</v>
      </c>
      <c r="AE40" s="18"/>
      <c r="AF40" s="18"/>
      <c r="AG40" s="10">
        <v>0</v>
      </c>
      <c r="AH40" s="10">
        <v>0</v>
      </c>
      <c r="AI40" s="10">
        <v>1782</v>
      </c>
    </row>
    <row r="41" spans="1:35" s="10" customFormat="1" ht="15">
      <c r="A41" s="5">
        <v>34</v>
      </c>
      <c r="B41" t="s">
        <v>58</v>
      </c>
      <c r="C41" s="29" t="s">
        <v>57</v>
      </c>
      <c r="F41" s="30" t="s">
        <v>21</v>
      </c>
      <c r="G41" s="6">
        <v>18</v>
      </c>
      <c r="H41" s="10">
        <v>0</v>
      </c>
      <c r="I41" s="18">
        <v>0</v>
      </c>
      <c r="J41" s="65">
        <v>7577</v>
      </c>
      <c r="K41" s="68"/>
      <c r="M41" s="41">
        <v>0</v>
      </c>
      <c r="N41" s="18">
        <v>0</v>
      </c>
      <c r="O41" s="67">
        <v>7561</v>
      </c>
      <c r="P41" s="68"/>
      <c r="R41" s="41">
        <v>0</v>
      </c>
      <c r="S41" s="18">
        <v>0</v>
      </c>
      <c r="T41" s="65">
        <v>7538</v>
      </c>
      <c r="U41" s="64"/>
      <c r="W41" s="41">
        <v>0</v>
      </c>
      <c r="X41" s="68">
        <v>0</v>
      </c>
      <c r="Y41" s="68">
        <v>7538</v>
      </c>
      <c r="Z41" s="68"/>
      <c r="AB41" s="41">
        <f>0+(34/60)</f>
        <v>0.56666666666666665</v>
      </c>
      <c r="AC41" s="18">
        <v>22</v>
      </c>
      <c r="AD41" s="65">
        <v>7468</v>
      </c>
      <c r="AE41" s="68"/>
      <c r="AF41" s="6"/>
    </row>
    <row r="42" spans="1:35" s="10" customFormat="1" ht="15">
      <c r="A42" s="5">
        <v>35</v>
      </c>
      <c r="B42" t="s">
        <v>58</v>
      </c>
      <c r="C42" s="29" t="s">
        <v>57</v>
      </c>
      <c r="F42" s="30" t="s">
        <v>38</v>
      </c>
      <c r="G42" s="6">
        <v>26</v>
      </c>
      <c r="H42" s="10">
        <f>1+(31/60)</f>
        <v>1.5166666666666666</v>
      </c>
      <c r="I42" s="18">
        <v>65</v>
      </c>
      <c r="J42" s="65">
        <v>0</v>
      </c>
      <c r="K42" s="68"/>
      <c r="M42" s="41">
        <f>0+(18/60)</f>
        <v>0.3</v>
      </c>
      <c r="N42" s="18">
        <v>12</v>
      </c>
      <c r="O42" s="67"/>
      <c r="P42" s="68"/>
      <c r="R42" s="41">
        <f>0+(45/60)</f>
        <v>0.75</v>
      </c>
      <c r="S42" s="18">
        <v>23</v>
      </c>
      <c r="T42" s="65"/>
      <c r="U42" s="64"/>
      <c r="W42" s="41">
        <v>0</v>
      </c>
      <c r="X42" s="68"/>
      <c r="Y42" s="68"/>
      <c r="Z42" s="68"/>
      <c r="AB42" s="41">
        <f>0+(35/60)</f>
        <v>0.58333333333333337</v>
      </c>
      <c r="AC42" s="18">
        <v>48</v>
      </c>
      <c r="AD42" s="65"/>
      <c r="AE42" s="68"/>
      <c r="AF42" s="6"/>
    </row>
    <row r="43" spans="1:35" s="10" customFormat="1" ht="15">
      <c r="A43" s="5">
        <v>36</v>
      </c>
      <c r="B43" t="s">
        <v>58</v>
      </c>
      <c r="C43" s="29" t="s">
        <v>57</v>
      </c>
      <c r="F43" s="30" t="s">
        <v>59</v>
      </c>
      <c r="G43" s="6">
        <v>10</v>
      </c>
      <c r="H43" s="10">
        <v>0</v>
      </c>
      <c r="I43" s="18">
        <v>0</v>
      </c>
      <c r="J43" s="65">
        <v>0</v>
      </c>
      <c r="K43" s="68"/>
      <c r="M43" s="41">
        <f>0+(9/60)</f>
        <v>0.15</v>
      </c>
      <c r="N43" s="18">
        <v>4</v>
      </c>
      <c r="O43" s="67"/>
      <c r="P43" s="68"/>
      <c r="R43" s="41">
        <v>0</v>
      </c>
      <c r="S43" s="18">
        <v>0</v>
      </c>
      <c r="T43" s="65"/>
      <c r="U43" s="64"/>
      <c r="W43" s="41">
        <v>0</v>
      </c>
      <c r="X43" s="68"/>
      <c r="Y43" s="68"/>
      <c r="Z43" s="68"/>
      <c r="AB43" s="41">
        <v>0</v>
      </c>
      <c r="AC43" s="18">
        <v>0</v>
      </c>
      <c r="AD43" s="65"/>
      <c r="AE43" s="68"/>
      <c r="AF43" s="6"/>
    </row>
    <row r="44" spans="1:35" s="10" customFormat="1" ht="15">
      <c r="A44" s="5">
        <v>37</v>
      </c>
      <c r="B44" t="s">
        <v>60</v>
      </c>
      <c r="C44" s="29" t="s">
        <v>57</v>
      </c>
      <c r="F44" s="30" t="s">
        <v>38</v>
      </c>
      <c r="G44" s="6">
        <v>115</v>
      </c>
      <c r="H44" s="10">
        <v>0</v>
      </c>
      <c r="I44" s="18">
        <v>0</v>
      </c>
      <c r="J44" s="65">
        <v>3430</v>
      </c>
      <c r="K44" s="68"/>
      <c r="M44" s="41">
        <v>0</v>
      </c>
      <c r="N44" s="18">
        <v>0</v>
      </c>
      <c r="O44" s="67">
        <v>3430</v>
      </c>
      <c r="P44" s="68"/>
      <c r="R44" s="41">
        <v>0</v>
      </c>
      <c r="S44" s="18">
        <v>0</v>
      </c>
      <c r="T44" s="65">
        <v>3430</v>
      </c>
      <c r="U44" s="68"/>
      <c r="W44" s="41">
        <v>0.5</v>
      </c>
      <c r="X44" s="18">
        <v>5</v>
      </c>
      <c r="Y44" s="65">
        <v>3425</v>
      </c>
      <c r="Z44" s="68" t="s">
        <v>61</v>
      </c>
      <c r="AB44" s="41">
        <v>1.5</v>
      </c>
      <c r="AC44" s="18">
        <v>95</v>
      </c>
      <c r="AD44" s="65">
        <v>3200</v>
      </c>
      <c r="AE44" s="83" t="s">
        <v>62</v>
      </c>
      <c r="AF44" s="6"/>
      <c r="AG44" s="10">
        <v>0</v>
      </c>
      <c r="AH44" s="10">
        <v>0</v>
      </c>
      <c r="AI44" s="66">
        <v>3200</v>
      </c>
    </row>
    <row r="45" spans="1:35" s="10" customFormat="1" ht="15">
      <c r="A45" s="5">
        <v>38</v>
      </c>
      <c r="B45" t="s">
        <v>60</v>
      </c>
      <c r="C45" s="29" t="s">
        <v>57</v>
      </c>
      <c r="F45" s="30" t="s">
        <v>38</v>
      </c>
      <c r="G45" s="6">
        <v>115</v>
      </c>
      <c r="H45" s="10">
        <v>0</v>
      </c>
      <c r="I45" s="18">
        <v>0</v>
      </c>
      <c r="J45" s="65"/>
      <c r="K45" s="68"/>
      <c r="M45" s="41">
        <v>0</v>
      </c>
      <c r="N45" s="18">
        <v>0</v>
      </c>
      <c r="O45" s="67"/>
      <c r="P45" s="68"/>
      <c r="R45" s="41">
        <v>0</v>
      </c>
      <c r="S45" s="18">
        <v>0</v>
      </c>
      <c r="T45" s="65"/>
      <c r="U45" s="68"/>
      <c r="W45" s="41">
        <v>0</v>
      </c>
      <c r="X45" s="18">
        <v>0</v>
      </c>
      <c r="Y45" s="65"/>
      <c r="Z45" s="68"/>
      <c r="AB45" s="41">
        <v>2</v>
      </c>
      <c r="AC45" s="18">
        <v>130</v>
      </c>
      <c r="AD45" s="65"/>
      <c r="AE45" s="83"/>
      <c r="AF45" s="6"/>
      <c r="AG45" s="10">
        <v>0</v>
      </c>
      <c r="AH45" s="10">
        <v>0</v>
      </c>
      <c r="AI45" s="66"/>
    </row>
    <row r="46" spans="1:35" s="10" customFormat="1" ht="15">
      <c r="A46" s="5">
        <v>39</v>
      </c>
      <c r="B46" t="s">
        <v>60</v>
      </c>
      <c r="C46" s="29" t="s">
        <v>57</v>
      </c>
      <c r="F46" s="30" t="s">
        <v>63</v>
      </c>
      <c r="G46" s="6">
        <v>53</v>
      </c>
      <c r="H46" s="10">
        <v>0</v>
      </c>
      <c r="I46" s="18">
        <v>0</v>
      </c>
      <c r="J46" s="65"/>
      <c r="K46" s="68"/>
      <c r="M46" s="41">
        <v>0</v>
      </c>
      <c r="N46" s="18">
        <v>0</v>
      </c>
      <c r="O46" s="67"/>
      <c r="P46" s="68"/>
      <c r="R46" s="41">
        <v>0</v>
      </c>
      <c r="S46" s="18">
        <v>0</v>
      </c>
      <c r="T46" s="65"/>
      <c r="U46" s="68"/>
      <c r="W46" s="41">
        <v>0</v>
      </c>
      <c r="X46" s="18">
        <v>0</v>
      </c>
      <c r="Y46" s="65"/>
      <c r="Z46" s="68"/>
      <c r="AB46" s="41">
        <v>0</v>
      </c>
      <c r="AC46" s="18">
        <v>0</v>
      </c>
      <c r="AD46" s="65"/>
      <c r="AE46" s="83"/>
      <c r="AF46" s="6"/>
      <c r="AG46" s="10">
        <v>0</v>
      </c>
      <c r="AH46" s="10">
        <v>0</v>
      </c>
      <c r="AI46" s="66"/>
    </row>
    <row r="47" spans="1:35" s="10" customFormat="1" ht="15">
      <c r="A47" s="5">
        <v>40</v>
      </c>
      <c r="B47" t="s">
        <v>64</v>
      </c>
      <c r="C47" s="29" t="s">
        <v>57</v>
      </c>
      <c r="F47" s="30" t="s">
        <v>38</v>
      </c>
      <c r="G47" s="6">
        <v>113.65</v>
      </c>
      <c r="H47" s="10">
        <v>0</v>
      </c>
      <c r="I47" s="10">
        <v>0</v>
      </c>
      <c r="J47" s="65">
        <v>2155</v>
      </c>
      <c r="K47" s="68"/>
      <c r="M47" s="41">
        <v>0</v>
      </c>
      <c r="N47" s="10">
        <v>0</v>
      </c>
      <c r="O47" s="67">
        <v>2155</v>
      </c>
      <c r="P47" s="68"/>
      <c r="R47" s="41">
        <v>0</v>
      </c>
      <c r="S47" s="10">
        <v>0</v>
      </c>
      <c r="T47" s="65">
        <v>2155</v>
      </c>
      <c r="U47" s="68"/>
      <c r="W47" s="41">
        <v>0.04</v>
      </c>
      <c r="X47" s="18">
        <v>1</v>
      </c>
      <c r="Y47" s="65">
        <v>2155</v>
      </c>
      <c r="Z47" s="68"/>
      <c r="AB47" s="41">
        <v>0.15</v>
      </c>
      <c r="AC47" s="18">
        <v>22</v>
      </c>
      <c r="AD47" s="65">
        <v>2130</v>
      </c>
      <c r="AE47" s="68"/>
      <c r="AF47" s="6"/>
    </row>
    <row r="48" spans="1:35" s="10" customFormat="1" ht="15">
      <c r="A48" s="5">
        <v>41</v>
      </c>
      <c r="B48" t="s">
        <v>64</v>
      </c>
      <c r="C48" s="29" t="s">
        <v>57</v>
      </c>
      <c r="F48" s="30" t="s">
        <v>38</v>
      </c>
      <c r="G48" s="6">
        <v>113.65</v>
      </c>
      <c r="H48" s="10">
        <v>0</v>
      </c>
      <c r="I48" s="10">
        <v>0</v>
      </c>
      <c r="J48" s="65"/>
      <c r="K48" s="68"/>
      <c r="M48" s="41">
        <v>0</v>
      </c>
      <c r="N48" s="10">
        <v>0</v>
      </c>
      <c r="O48" s="67"/>
      <c r="P48" s="68"/>
      <c r="R48" s="41">
        <v>0</v>
      </c>
      <c r="S48" s="10">
        <v>0</v>
      </c>
      <c r="T48" s="65"/>
      <c r="U48" s="68"/>
      <c r="W48" s="41"/>
      <c r="X48" s="18"/>
      <c r="Y48" s="65"/>
      <c r="Z48" s="68"/>
      <c r="AB48" s="41">
        <v>0.06</v>
      </c>
      <c r="AC48" s="18">
        <v>2</v>
      </c>
      <c r="AD48" s="65"/>
      <c r="AE48" s="68"/>
      <c r="AF48" s="6"/>
    </row>
    <row r="49" spans="1:40" s="10" customFormat="1" ht="15">
      <c r="A49" s="5">
        <v>42</v>
      </c>
      <c r="B49" t="s">
        <v>65</v>
      </c>
      <c r="C49" s="29" t="s">
        <v>57</v>
      </c>
      <c r="F49" s="30" t="s">
        <v>25</v>
      </c>
      <c r="G49" s="6">
        <v>60</v>
      </c>
      <c r="H49" s="10">
        <v>0</v>
      </c>
      <c r="I49" s="18">
        <v>0</v>
      </c>
      <c r="J49" s="65">
        <v>4237</v>
      </c>
      <c r="K49" s="68"/>
      <c r="M49" s="41">
        <v>0</v>
      </c>
      <c r="N49" s="18">
        <v>0</v>
      </c>
      <c r="O49" s="67">
        <v>4237</v>
      </c>
      <c r="P49" s="68"/>
      <c r="R49" s="41">
        <v>0</v>
      </c>
      <c r="S49" s="18">
        <v>0</v>
      </c>
      <c r="T49" s="65">
        <v>4237</v>
      </c>
      <c r="U49" s="68"/>
      <c r="W49" s="41">
        <v>0</v>
      </c>
      <c r="X49" s="18">
        <v>0</v>
      </c>
      <c r="Y49" s="65">
        <v>4237</v>
      </c>
      <c r="Z49" s="68"/>
      <c r="AB49" s="41">
        <v>0</v>
      </c>
      <c r="AC49" s="18">
        <v>0</v>
      </c>
      <c r="AD49" s="65">
        <v>4237</v>
      </c>
      <c r="AE49" s="68"/>
      <c r="AF49" s="6"/>
    </row>
    <row r="50" spans="1:40" s="10" customFormat="1" ht="15">
      <c r="A50" s="5">
        <v>43</v>
      </c>
      <c r="B50" t="s">
        <v>65</v>
      </c>
      <c r="C50" s="29" t="s">
        <v>57</v>
      </c>
      <c r="F50" s="30" t="s">
        <v>25</v>
      </c>
      <c r="G50" s="6">
        <v>60</v>
      </c>
      <c r="H50" s="10">
        <v>0</v>
      </c>
      <c r="I50" s="18">
        <v>0</v>
      </c>
      <c r="J50" s="65"/>
      <c r="K50" s="68"/>
      <c r="M50" s="41">
        <v>0</v>
      </c>
      <c r="N50" s="18">
        <v>0</v>
      </c>
      <c r="O50" s="67"/>
      <c r="P50" s="68"/>
      <c r="R50" s="41">
        <v>0</v>
      </c>
      <c r="S50" s="18">
        <v>0</v>
      </c>
      <c r="T50" s="65"/>
      <c r="U50" s="68"/>
      <c r="W50" s="41">
        <v>0</v>
      </c>
      <c r="X50" s="18">
        <v>0</v>
      </c>
      <c r="Y50" s="65"/>
      <c r="Z50" s="68"/>
      <c r="AB50" s="41">
        <v>0</v>
      </c>
      <c r="AC50" s="18">
        <v>0</v>
      </c>
      <c r="AD50" s="65"/>
      <c r="AE50" s="68"/>
      <c r="AF50" s="6"/>
    </row>
    <row r="51" spans="1:40" s="10" customFormat="1" ht="15">
      <c r="A51" s="5">
        <v>44</v>
      </c>
      <c r="B51" t="s">
        <v>65</v>
      </c>
      <c r="C51" s="29" t="s">
        <v>57</v>
      </c>
      <c r="F51" s="30" t="s">
        <v>66</v>
      </c>
      <c r="G51" s="6">
        <v>68</v>
      </c>
      <c r="H51" s="10">
        <v>0</v>
      </c>
      <c r="I51" s="18">
        <v>0</v>
      </c>
      <c r="J51" s="65"/>
      <c r="K51" s="68"/>
      <c r="M51" s="41">
        <v>0</v>
      </c>
      <c r="N51" s="18">
        <v>0</v>
      </c>
      <c r="O51" s="67"/>
      <c r="P51" s="68"/>
      <c r="R51" s="41">
        <v>0</v>
      </c>
      <c r="S51" s="18">
        <v>0</v>
      </c>
      <c r="T51" s="65"/>
      <c r="U51" s="68"/>
      <c r="W51" s="41">
        <v>0</v>
      </c>
      <c r="X51" s="18">
        <v>0</v>
      </c>
      <c r="Y51" s="65"/>
      <c r="Z51" s="68"/>
      <c r="AB51" s="41">
        <v>0</v>
      </c>
      <c r="AC51" s="18">
        <v>0</v>
      </c>
      <c r="AD51" s="65"/>
      <c r="AE51" s="68"/>
      <c r="AF51" s="6"/>
    </row>
    <row r="52" spans="1:40" s="10" customFormat="1" ht="15">
      <c r="A52" s="5">
        <v>45</v>
      </c>
      <c r="B52" t="s">
        <v>67</v>
      </c>
      <c r="C52" s="29" t="s">
        <v>57</v>
      </c>
      <c r="D52" s="10" t="s">
        <v>68</v>
      </c>
      <c r="E52" s="10" t="s">
        <v>69</v>
      </c>
      <c r="F52" s="30" t="s">
        <v>70</v>
      </c>
      <c r="G52" s="6">
        <v>48</v>
      </c>
      <c r="H52" s="10">
        <v>0.1</v>
      </c>
      <c r="I52" s="18">
        <v>0</v>
      </c>
      <c r="J52" s="65">
        <v>5157</v>
      </c>
      <c r="K52" s="68"/>
      <c r="M52" s="41">
        <v>0.2</v>
      </c>
      <c r="N52" s="18">
        <v>0</v>
      </c>
      <c r="O52" s="67">
        <v>5157</v>
      </c>
      <c r="P52" s="68"/>
      <c r="R52" s="41">
        <v>0</v>
      </c>
      <c r="S52" s="18">
        <v>0</v>
      </c>
      <c r="T52" s="65">
        <v>5157</v>
      </c>
      <c r="U52" s="68"/>
      <c r="W52" s="41">
        <v>0</v>
      </c>
      <c r="X52" s="18">
        <v>0</v>
      </c>
      <c r="Y52" s="65">
        <v>5157</v>
      </c>
      <c r="Z52" s="68"/>
      <c r="AB52" s="41">
        <v>0.3</v>
      </c>
      <c r="AC52" s="18">
        <v>0</v>
      </c>
      <c r="AD52" s="65">
        <v>5157</v>
      </c>
      <c r="AE52" s="68"/>
      <c r="AF52" s="6"/>
    </row>
    <row r="53" spans="1:40" s="10" customFormat="1" ht="15">
      <c r="A53" s="5">
        <v>46</v>
      </c>
      <c r="B53" t="s">
        <v>67</v>
      </c>
      <c r="C53" s="29" t="s">
        <v>57</v>
      </c>
      <c r="D53" s="10" t="s">
        <v>68</v>
      </c>
      <c r="E53" s="10" t="s">
        <v>69</v>
      </c>
      <c r="F53" s="30" t="s">
        <v>70</v>
      </c>
      <c r="G53" s="6">
        <v>48</v>
      </c>
      <c r="H53" s="10">
        <v>0.7</v>
      </c>
      <c r="I53" s="18">
        <v>0</v>
      </c>
      <c r="J53" s="65"/>
      <c r="K53" s="68"/>
      <c r="M53" s="41">
        <v>0.2</v>
      </c>
      <c r="N53" s="18">
        <v>0</v>
      </c>
      <c r="O53" s="67"/>
      <c r="P53" s="68"/>
      <c r="R53" s="41">
        <v>0</v>
      </c>
      <c r="S53" s="18">
        <v>0</v>
      </c>
      <c r="T53" s="65"/>
      <c r="U53" s="68"/>
      <c r="W53" s="41">
        <v>0</v>
      </c>
      <c r="X53" s="18">
        <v>0</v>
      </c>
      <c r="Y53" s="65"/>
      <c r="Z53" s="68"/>
      <c r="AB53" s="41">
        <v>1.4</v>
      </c>
      <c r="AC53" s="18">
        <v>0</v>
      </c>
      <c r="AD53" s="65"/>
      <c r="AE53" s="68"/>
      <c r="AF53" s="6"/>
    </row>
    <row r="54" spans="1:40" s="10" customFormat="1" ht="15">
      <c r="A54" s="5">
        <v>47</v>
      </c>
      <c r="B54" t="s">
        <v>67</v>
      </c>
      <c r="C54" s="29" t="s">
        <v>57</v>
      </c>
      <c r="D54" s="10" t="s">
        <v>68</v>
      </c>
      <c r="E54" s="10" t="s">
        <v>69</v>
      </c>
      <c r="F54" s="30" t="s">
        <v>38</v>
      </c>
      <c r="G54" s="6">
        <v>101</v>
      </c>
      <c r="H54" s="10">
        <v>0</v>
      </c>
      <c r="I54" s="18">
        <v>0</v>
      </c>
      <c r="J54" s="65"/>
      <c r="K54" s="68"/>
      <c r="M54" s="41">
        <v>0.15</v>
      </c>
      <c r="N54" s="18">
        <v>0</v>
      </c>
      <c r="O54" s="67"/>
      <c r="P54" s="68"/>
      <c r="R54" s="41">
        <v>0</v>
      </c>
      <c r="S54" s="18">
        <v>0</v>
      </c>
      <c r="T54" s="65"/>
      <c r="U54" s="68"/>
      <c r="W54" s="41">
        <v>0</v>
      </c>
      <c r="X54" s="18">
        <v>0</v>
      </c>
      <c r="Y54" s="65"/>
      <c r="Z54" s="68"/>
      <c r="AB54" s="41">
        <v>0</v>
      </c>
      <c r="AC54" s="18">
        <v>0</v>
      </c>
      <c r="AD54" s="65"/>
      <c r="AE54" s="68"/>
      <c r="AF54" s="6"/>
    </row>
    <row r="55" spans="1:40" s="10" customFormat="1" ht="15">
      <c r="A55" s="5">
        <v>48</v>
      </c>
      <c r="B55" t="s">
        <v>71</v>
      </c>
      <c r="C55" s="29" t="s">
        <v>57</v>
      </c>
      <c r="D55" s="10" t="s">
        <v>68</v>
      </c>
      <c r="E55" s="10" t="s">
        <v>72</v>
      </c>
      <c r="F55" s="30" t="s">
        <v>73</v>
      </c>
      <c r="G55" s="6">
        <v>72.736000000000004</v>
      </c>
      <c r="H55" s="10">
        <v>0</v>
      </c>
      <c r="I55" s="18">
        <v>0</v>
      </c>
      <c r="J55" s="18">
        <v>3763.92</v>
      </c>
      <c r="K55" s="68"/>
      <c r="M55" s="41">
        <v>0</v>
      </c>
      <c r="N55" s="18">
        <v>0</v>
      </c>
      <c r="O55" s="18">
        <v>3763.92</v>
      </c>
      <c r="P55" s="68"/>
      <c r="R55" s="41">
        <v>0</v>
      </c>
      <c r="S55" s="18">
        <v>0</v>
      </c>
      <c r="T55" s="65">
        <v>3763.92</v>
      </c>
      <c r="U55" s="68"/>
      <c r="W55" s="41">
        <v>0</v>
      </c>
      <c r="X55" s="18">
        <v>0</v>
      </c>
      <c r="Y55" s="65">
        <v>3763.92</v>
      </c>
      <c r="Z55" s="68"/>
      <c r="AB55" s="41">
        <v>0</v>
      </c>
      <c r="AC55" s="18">
        <v>0</v>
      </c>
      <c r="AD55" s="65">
        <v>3763.92</v>
      </c>
      <c r="AE55" s="68"/>
      <c r="AF55" s="6"/>
      <c r="AG55" s="10">
        <v>0</v>
      </c>
      <c r="AH55" s="10">
        <v>0</v>
      </c>
      <c r="AI55" s="10">
        <v>3763.92</v>
      </c>
      <c r="AL55" s="10">
        <v>0</v>
      </c>
      <c r="AM55" s="10">
        <v>0</v>
      </c>
      <c r="AN55" s="10">
        <v>3763.92</v>
      </c>
    </row>
    <row r="56" spans="1:40" s="10" customFormat="1" ht="15">
      <c r="A56" s="5">
        <v>49</v>
      </c>
      <c r="B56" t="s">
        <v>71</v>
      </c>
      <c r="C56" s="29" t="s">
        <v>57</v>
      </c>
      <c r="F56" s="30" t="s">
        <v>73</v>
      </c>
      <c r="G56" s="6">
        <v>72.736000000000004</v>
      </c>
      <c r="I56" s="18"/>
      <c r="J56" s="18"/>
      <c r="K56" s="68"/>
      <c r="M56" s="41"/>
      <c r="N56" s="18"/>
      <c r="O56" s="18"/>
      <c r="P56" s="68"/>
      <c r="R56" s="41"/>
      <c r="S56" s="18"/>
      <c r="T56" s="65"/>
      <c r="U56" s="68"/>
      <c r="W56" s="41"/>
      <c r="X56" s="18"/>
      <c r="Y56" s="65"/>
      <c r="Z56" s="68"/>
      <c r="AB56" s="41"/>
      <c r="AC56" s="18"/>
      <c r="AD56" s="65"/>
      <c r="AE56" s="68"/>
      <c r="AF56" s="6"/>
    </row>
    <row r="57" spans="1:40" s="10" customFormat="1" ht="15">
      <c r="A57" s="5">
        <v>50</v>
      </c>
      <c r="B57" s="29" t="s">
        <v>74</v>
      </c>
      <c r="C57" s="29" t="s">
        <v>57</v>
      </c>
      <c r="D57" s="64" t="s">
        <v>68</v>
      </c>
      <c r="E57" s="66" t="s">
        <v>72</v>
      </c>
      <c r="F57" s="30" t="s">
        <v>75</v>
      </c>
      <c r="G57" s="6">
        <v>115</v>
      </c>
      <c r="H57" s="10">
        <v>0</v>
      </c>
      <c r="I57" s="68">
        <v>0</v>
      </c>
      <c r="J57" s="65">
        <f>12724+5770</f>
        <v>18494</v>
      </c>
      <c r="K57" s="68"/>
      <c r="M57" s="41">
        <v>0</v>
      </c>
      <c r="N57" s="68">
        <v>20</v>
      </c>
      <c r="O57" s="67">
        <v>18474</v>
      </c>
      <c r="P57" s="68"/>
      <c r="R57" s="41">
        <v>0</v>
      </c>
      <c r="S57" s="68">
        <v>0</v>
      </c>
      <c r="T57" s="65">
        <v>18474</v>
      </c>
      <c r="U57" s="68"/>
      <c r="W57" s="41">
        <v>0</v>
      </c>
      <c r="X57" s="68">
        <v>0</v>
      </c>
      <c r="Y57" s="65">
        <v>18474</v>
      </c>
      <c r="Z57" s="68"/>
      <c r="AB57" s="41">
        <v>0</v>
      </c>
      <c r="AC57" s="65">
        <v>0</v>
      </c>
      <c r="AD57" s="65">
        <v>18474</v>
      </c>
      <c r="AE57" s="68"/>
      <c r="AF57" s="6"/>
      <c r="AG57" s="41">
        <v>0</v>
      </c>
      <c r="AH57" s="65">
        <v>0</v>
      </c>
      <c r="AI57" s="65">
        <v>18474</v>
      </c>
    </row>
    <row r="58" spans="1:40" s="10" customFormat="1" ht="15">
      <c r="A58" s="5">
        <v>51</v>
      </c>
      <c r="B58" s="29" t="s">
        <v>74</v>
      </c>
      <c r="C58" s="29" t="s">
        <v>57</v>
      </c>
      <c r="D58" s="64"/>
      <c r="E58" s="66"/>
      <c r="F58" s="30" t="s">
        <v>76</v>
      </c>
      <c r="G58" s="6">
        <v>115</v>
      </c>
      <c r="H58" s="10">
        <v>0</v>
      </c>
      <c r="I58" s="68"/>
      <c r="J58" s="65"/>
      <c r="K58" s="68"/>
      <c r="M58" s="41">
        <v>0</v>
      </c>
      <c r="N58" s="68"/>
      <c r="O58" s="67"/>
      <c r="P58" s="68"/>
      <c r="R58" s="41">
        <v>0</v>
      </c>
      <c r="S58" s="68"/>
      <c r="T58" s="65"/>
      <c r="U58" s="68"/>
      <c r="W58" s="41">
        <v>0</v>
      </c>
      <c r="X58" s="68"/>
      <c r="Y58" s="65"/>
      <c r="Z58" s="68"/>
      <c r="AB58" s="41">
        <v>0</v>
      </c>
      <c r="AC58" s="65"/>
      <c r="AD58" s="65"/>
      <c r="AE58" s="68"/>
      <c r="AF58" s="6"/>
      <c r="AG58" s="41">
        <v>0</v>
      </c>
      <c r="AH58" s="65"/>
      <c r="AI58" s="65"/>
    </row>
    <row r="59" spans="1:40" s="10" customFormat="1" ht="15">
      <c r="A59" s="5">
        <v>52</v>
      </c>
      <c r="B59" s="29" t="s">
        <v>74</v>
      </c>
      <c r="C59" s="29" t="s">
        <v>57</v>
      </c>
      <c r="D59" s="64"/>
      <c r="E59" s="66"/>
      <c r="F59" s="30" t="s">
        <v>77</v>
      </c>
      <c r="G59" s="6">
        <v>115</v>
      </c>
      <c r="H59" s="10">
        <v>0</v>
      </c>
      <c r="I59" s="68"/>
      <c r="J59" s="65"/>
      <c r="K59" s="68"/>
      <c r="M59" s="41">
        <v>0</v>
      </c>
      <c r="N59" s="68"/>
      <c r="O59" s="67"/>
      <c r="P59" s="68"/>
      <c r="R59" s="41">
        <v>0</v>
      </c>
      <c r="S59" s="68"/>
      <c r="T59" s="65"/>
      <c r="U59" s="68"/>
      <c r="W59" s="41">
        <v>0</v>
      </c>
      <c r="X59" s="68"/>
      <c r="Y59" s="65"/>
      <c r="Z59" s="68"/>
      <c r="AB59" s="41">
        <v>0</v>
      </c>
      <c r="AC59" s="65"/>
      <c r="AD59" s="65"/>
      <c r="AE59" s="68"/>
      <c r="AF59" s="6"/>
      <c r="AG59" s="41">
        <v>0</v>
      </c>
      <c r="AH59" s="65"/>
      <c r="AI59" s="65"/>
    </row>
    <row r="60" spans="1:40" s="10" customFormat="1" ht="15">
      <c r="A60" s="5">
        <v>53</v>
      </c>
      <c r="B60" s="29" t="s">
        <v>74</v>
      </c>
      <c r="C60" s="29" t="s">
        <v>57</v>
      </c>
      <c r="D60" s="64"/>
      <c r="E60" s="66"/>
      <c r="F60" s="30" t="s">
        <v>78</v>
      </c>
      <c r="G60" s="6">
        <v>115</v>
      </c>
      <c r="H60" s="10">
        <v>0</v>
      </c>
      <c r="I60" s="68"/>
      <c r="J60" s="65"/>
      <c r="K60" s="68"/>
      <c r="M60" s="41">
        <v>0.3</v>
      </c>
      <c r="N60" s="68"/>
      <c r="O60" s="67"/>
      <c r="P60" s="68"/>
      <c r="R60" s="41">
        <v>0</v>
      </c>
      <c r="S60" s="68"/>
      <c r="T60" s="65"/>
      <c r="U60" s="68"/>
      <c r="W60" s="41">
        <v>0</v>
      </c>
      <c r="X60" s="68"/>
      <c r="Y60" s="65"/>
      <c r="Z60" s="68"/>
      <c r="AB60" s="41">
        <v>0</v>
      </c>
      <c r="AC60" s="65"/>
      <c r="AD60" s="65"/>
      <c r="AE60" s="68"/>
      <c r="AF60" s="6"/>
      <c r="AG60" s="41">
        <v>0</v>
      </c>
      <c r="AH60" s="65"/>
      <c r="AI60" s="65"/>
    </row>
    <row r="61" spans="1:40" s="10" customFormat="1">
      <c r="A61" s="25"/>
      <c r="F61" s="18"/>
      <c r="G61" s="18"/>
      <c r="I61" s="18"/>
      <c r="J61" s="18"/>
      <c r="K61" s="18"/>
      <c r="N61" s="18"/>
      <c r="O61" s="18"/>
      <c r="P61" s="18"/>
      <c r="S61" s="18"/>
      <c r="T61" s="18"/>
      <c r="U61" s="18"/>
      <c r="X61" s="18"/>
      <c r="Y61" s="18"/>
      <c r="Z61" s="18"/>
      <c r="AC61" s="18"/>
      <c r="AD61" s="45"/>
    </row>
    <row r="62" spans="1:40" s="10" customFormat="1">
      <c r="A62" s="25"/>
      <c r="F62" s="18"/>
      <c r="G62" s="18"/>
      <c r="I62" s="18"/>
      <c r="J62" s="18"/>
      <c r="K62" s="18"/>
      <c r="N62" s="18"/>
      <c r="O62" s="18"/>
      <c r="P62" s="18"/>
      <c r="S62" s="18"/>
      <c r="T62" s="18"/>
      <c r="U62" s="18"/>
      <c r="X62" s="18"/>
      <c r="Y62" s="18"/>
      <c r="Z62" s="18"/>
      <c r="AC62" s="18"/>
      <c r="AD62" s="45"/>
    </row>
    <row r="63" spans="1:40" s="10" customFormat="1">
      <c r="A63" s="25"/>
      <c r="F63" s="18"/>
      <c r="G63" s="18"/>
      <c r="I63" s="18"/>
      <c r="J63" s="18"/>
      <c r="K63" s="18"/>
      <c r="N63" s="18"/>
      <c r="O63" s="18"/>
      <c r="P63" s="18"/>
      <c r="S63" s="18"/>
      <c r="T63" s="18"/>
      <c r="U63" s="18"/>
      <c r="X63" s="18"/>
      <c r="Y63" s="18"/>
      <c r="Z63" s="18"/>
      <c r="AC63" s="18"/>
      <c r="AD63" s="45"/>
    </row>
    <row r="64" spans="1:40" s="10" customFormat="1">
      <c r="A64" s="25"/>
      <c r="F64" s="18"/>
      <c r="G64" s="18"/>
      <c r="I64" s="18"/>
      <c r="J64" s="18"/>
      <c r="K64" s="18"/>
      <c r="N64" s="18"/>
      <c r="O64" s="18"/>
      <c r="P64" s="18"/>
      <c r="S64" s="18"/>
      <c r="T64" s="18"/>
      <c r="U64" s="18"/>
      <c r="X64" s="18"/>
      <c r="Y64" s="18"/>
      <c r="Z64" s="18"/>
      <c r="AC64" s="18"/>
      <c r="AD64" s="45"/>
    </row>
    <row r="65" spans="1:30" s="10" customFormat="1">
      <c r="A65" s="25"/>
      <c r="F65" s="18"/>
      <c r="G65" s="18"/>
      <c r="I65" s="18"/>
      <c r="J65" s="18"/>
      <c r="K65" s="18"/>
      <c r="N65" s="18"/>
      <c r="O65" s="18"/>
      <c r="P65" s="18"/>
      <c r="S65" s="18"/>
      <c r="T65" s="18"/>
      <c r="U65" s="18"/>
      <c r="X65" s="18"/>
      <c r="Y65" s="18"/>
      <c r="Z65" s="18"/>
      <c r="AC65" s="18"/>
      <c r="AD65" s="45"/>
    </row>
    <row r="66" spans="1:30" s="10" customFormat="1">
      <c r="A66" s="25"/>
      <c r="F66" s="18"/>
      <c r="G66" s="18"/>
      <c r="I66" s="18"/>
      <c r="J66" s="18"/>
      <c r="K66" s="18"/>
      <c r="N66" s="18"/>
      <c r="O66" s="18"/>
      <c r="P66" s="18"/>
      <c r="S66" s="18"/>
      <c r="T66" s="18"/>
      <c r="U66" s="18"/>
      <c r="X66" s="18"/>
      <c r="Y66" s="18"/>
      <c r="Z66" s="18"/>
      <c r="AC66" s="18"/>
      <c r="AD66" s="45"/>
    </row>
    <row r="67" spans="1:30" s="10" customFormat="1">
      <c r="A67" s="25"/>
      <c r="F67" s="18"/>
      <c r="G67" s="18"/>
      <c r="I67" s="18"/>
      <c r="J67" s="18"/>
      <c r="K67" s="18"/>
      <c r="N67" s="18"/>
      <c r="O67" s="18"/>
      <c r="P67" s="18"/>
      <c r="S67" s="18"/>
      <c r="T67" s="18"/>
      <c r="U67" s="18"/>
      <c r="X67" s="18"/>
      <c r="Y67" s="18"/>
      <c r="Z67" s="18"/>
      <c r="AC67" s="18"/>
      <c r="AD67" s="45"/>
    </row>
    <row r="68" spans="1:30" s="10" customFormat="1">
      <c r="A68" s="25"/>
      <c r="F68" s="18"/>
      <c r="G68" s="18"/>
      <c r="I68" s="18"/>
      <c r="J68" s="18"/>
      <c r="K68" s="18"/>
      <c r="N68" s="18"/>
      <c r="O68" s="18"/>
      <c r="P68" s="18"/>
      <c r="S68" s="18"/>
      <c r="T68" s="18"/>
      <c r="U68" s="18"/>
      <c r="X68" s="18"/>
      <c r="Y68" s="18"/>
      <c r="Z68" s="18"/>
      <c r="AC68" s="18"/>
      <c r="AD68" s="45"/>
    </row>
    <row r="69" spans="1:30" s="10" customFormat="1">
      <c r="A69" s="25"/>
      <c r="F69" s="18"/>
      <c r="G69" s="18"/>
      <c r="I69" s="18"/>
      <c r="J69" s="18"/>
      <c r="K69" s="18"/>
      <c r="N69" s="18"/>
      <c r="O69" s="18"/>
      <c r="P69" s="18"/>
      <c r="S69" s="18"/>
      <c r="T69" s="18"/>
      <c r="U69" s="18"/>
      <c r="X69" s="18"/>
      <c r="Y69" s="18"/>
      <c r="Z69" s="18"/>
      <c r="AC69" s="18"/>
      <c r="AD69" s="45"/>
    </row>
    <row r="70" spans="1:30" s="10" customFormat="1">
      <c r="A70" s="25"/>
      <c r="F70" s="18"/>
      <c r="G70" s="18"/>
      <c r="I70" s="18"/>
      <c r="J70" s="18"/>
      <c r="K70" s="18"/>
      <c r="N70" s="18"/>
      <c r="O70" s="18"/>
      <c r="P70" s="18"/>
      <c r="S70" s="18"/>
      <c r="T70" s="18"/>
      <c r="U70" s="18"/>
      <c r="X70" s="18"/>
      <c r="Y70" s="18"/>
      <c r="Z70" s="18"/>
      <c r="AC70" s="18"/>
      <c r="AD70" s="45"/>
    </row>
    <row r="71" spans="1:30"/>
  </sheetData>
  <mergeCells count="190">
    <mergeCell ref="AD44:AD46"/>
    <mergeCell ref="AE57:AE60"/>
    <mergeCell ref="AD8:AD10"/>
    <mergeCell ref="AC57:AC60"/>
    <mergeCell ref="Y57:Y60"/>
    <mergeCell ref="T8:T10"/>
    <mergeCell ref="AL2:AO2"/>
    <mergeCell ref="D57:D60"/>
    <mergeCell ref="E57:E60"/>
    <mergeCell ref="AB2:AE2"/>
    <mergeCell ref="AD55:AD56"/>
    <mergeCell ref="AD57:AD60"/>
    <mergeCell ref="AE8:AE10"/>
    <mergeCell ref="AE13:AE15"/>
    <mergeCell ref="AE18:AE20"/>
    <mergeCell ref="AE21:AE23"/>
    <mergeCell ref="AE25:AE26"/>
    <mergeCell ref="AE27:AE28"/>
    <mergeCell ref="AE29:AE30"/>
    <mergeCell ref="AE32:AE33"/>
    <mergeCell ref="AE34:AE35"/>
    <mergeCell ref="AE38:AE39"/>
    <mergeCell ref="AE41:AE43"/>
    <mergeCell ref="AE44:AE46"/>
    <mergeCell ref="AE47:AE48"/>
    <mergeCell ref="AE49:AE51"/>
    <mergeCell ref="AD41:AD43"/>
    <mergeCell ref="Z41:Z43"/>
    <mergeCell ref="X41:X43"/>
    <mergeCell ref="Y49:Y51"/>
    <mergeCell ref="AD13:AD15"/>
    <mergeCell ref="X57:X60"/>
    <mergeCell ref="O13:O15"/>
    <mergeCell ref="Y52:Y54"/>
    <mergeCell ref="AD16:AD17"/>
    <mergeCell ref="Y8:Y10"/>
    <mergeCell ref="Y13:Y15"/>
    <mergeCell ref="Y21:Y23"/>
    <mergeCell ref="Y25:Y26"/>
    <mergeCell ref="Y27:Y28"/>
    <mergeCell ref="Y29:Y30"/>
    <mergeCell ref="Y32:Y33"/>
    <mergeCell ref="Y34:Y35"/>
    <mergeCell ref="AD38:AD39"/>
    <mergeCell ref="AD29:AD30"/>
    <mergeCell ref="AD32:AD33"/>
    <mergeCell ref="AD34:AD35"/>
    <mergeCell ref="Z57:Z60"/>
    <mergeCell ref="Y16:Y17"/>
    <mergeCell ref="AD47:AD48"/>
    <mergeCell ref="Z44:Z46"/>
    <mergeCell ref="U21:U23"/>
    <mergeCell ref="Z16:Z17"/>
    <mergeCell ref="T13:T15"/>
    <mergeCell ref="AE52:AE54"/>
    <mergeCell ref="K32:K33"/>
    <mergeCell ref="K34:K35"/>
    <mergeCell ref="AE55:AE56"/>
    <mergeCell ref="T27:T28"/>
    <mergeCell ref="T29:T30"/>
    <mergeCell ref="T32:T33"/>
    <mergeCell ref="T34:T35"/>
    <mergeCell ref="T38:T39"/>
    <mergeCell ref="K27:K28"/>
    <mergeCell ref="K29:K30"/>
    <mergeCell ref="P38:P39"/>
    <mergeCell ref="P41:P43"/>
    <mergeCell ref="Z52:Z54"/>
    <mergeCell ref="Z55:Z56"/>
    <mergeCell ref="Y38:Y39"/>
    <mergeCell ref="Y41:Y43"/>
    <mergeCell ref="Y44:Y46"/>
    <mergeCell ref="Y55:Y56"/>
    <mergeCell ref="Z49:Z51"/>
    <mergeCell ref="Z34:Z35"/>
    <mergeCell ref="A2:A3"/>
    <mergeCell ref="B2:B3"/>
    <mergeCell ref="M2:P2"/>
    <mergeCell ref="H2:K2"/>
    <mergeCell ref="J27:J28"/>
    <mergeCell ref="O8:O10"/>
    <mergeCell ref="O25:O26"/>
    <mergeCell ref="O27:O28"/>
    <mergeCell ref="P8:P10"/>
    <mergeCell ref="P13:P15"/>
    <mergeCell ref="P18:P20"/>
    <mergeCell ref="P21:P23"/>
    <mergeCell ref="P25:P26"/>
    <mergeCell ref="P27:P28"/>
    <mergeCell ref="J8:J10"/>
    <mergeCell ref="K8:K10"/>
    <mergeCell ref="K13:K15"/>
    <mergeCell ref="K18:K20"/>
    <mergeCell ref="K21:K23"/>
    <mergeCell ref="K25:K26"/>
    <mergeCell ref="O16:O17"/>
    <mergeCell ref="J16:J17"/>
    <mergeCell ref="U41:U43"/>
    <mergeCell ref="P52:P54"/>
    <mergeCell ref="K44:K46"/>
    <mergeCell ref="K47:K48"/>
    <mergeCell ref="U34:U35"/>
    <mergeCell ref="Z47:Z48"/>
    <mergeCell ref="U44:U46"/>
    <mergeCell ref="Z38:Z39"/>
    <mergeCell ref="A4:G4"/>
    <mergeCell ref="U8:U10"/>
    <mergeCell ref="U13:U15"/>
    <mergeCell ref="U18:U20"/>
    <mergeCell ref="Z27:Z28"/>
    <mergeCell ref="Z29:Z30"/>
    <mergeCell ref="Z32:Z33"/>
    <mergeCell ref="U27:U28"/>
    <mergeCell ref="U29:U30"/>
    <mergeCell ref="T21:T23"/>
    <mergeCell ref="T25:T26"/>
    <mergeCell ref="Z8:Z10"/>
    <mergeCell ref="Z13:Z15"/>
    <mergeCell ref="Z18:Z20"/>
    <mergeCell ref="Z21:Z23"/>
    <mergeCell ref="Z25:Z26"/>
    <mergeCell ref="J47:J48"/>
    <mergeCell ref="J44:J46"/>
    <mergeCell ref="O44:O46"/>
    <mergeCell ref="T44:T46"/>
    <mergeCell ref="O38:O39"/>
    <mergeCell ref="J38:J39"/>
    <mergeCell ref="T47:T48"/>
    <mergeCell ref="AG2:AJ2"/>
    <mergeCell ref="P44:P46"/>
    <mergeCell ref="P47:P48"/>
    <mergeCell ref="J34:J35"/>
    <mergeCell ref="J32:J33"/>
    <mergeCell ref="J41:J43"/>
    <mergeCell ref="T41:T43"/>
    <mergeCell ref="Y47:Y48"/>
    <mergeCell ref="W2:Z2"/>
    <mergeCell ref="R2:U2"/>
    <mergeCell ref="AE16:AE17"/>
    <mergeCell ref="AD18:AD20"/>
    <mergeCell ref="AD21:AD23"/>
    <mergeCell ref="AD25:AD26"/>
    <mergeCell ref="U47:U48"/>
    <mergeCell ref="U25:U26"/>
    <mergeCell ref="U32:U33"/>
    <mergeCell ref="I57:I60"/>
    <mergeCell ref="J57:J60"/>
    <mergeCell ref="U55:U56"/>
    <mergeCell ref="U49:U51"/>
    <mergeCell ref="U52:U54"/>
    <mergeCell ref="J52:J54"/>
    <mergeCell ref="P57:P60"/>
    <mergeCell ref="O57:O60"/>
    <mergeCell ref="K57:K60"/>
    <mergeCell ref="S57:S60"/>
    <mergeCell ref="U57:U60"/>
    <mergeCell ref="T55:T56"/>
    <mergeCell ref="K55:K56"/>
    <mergeCell ref="P55:P56"/>
    <mergeCell ref="T57:T60"/>
    <mergeCell ref="N57:N60"/>
    <mergeCell ref="K49:K51"/>
    <mergeCell ref="O49:O51"/>
    <mergeCell ref="J49:J51"/>
    <mergeCell ref="T49:T51"/>
    <mergeCell ref="P49:P51"/>
    <mergeCell ref="AI27:AI28"/>
    <mergeCell ref="AH57:AH60"/>
    <mergeCell ref="AI57:AI60"/>
    <mergeCell ref="AI44:AI46"/>
    <mergeCell ref="AI18:AI19"/>
    <mergeCell ref="AI16:AI17"/>
    <mergeCell ref="T52:T54"/>
    <mergeCell ref="O52:O54"/>
    <mergeCell ref="K52:K54"/>
    <mergeCell ref="AD49:AD51"/>
    <mergeCell ref="AD52:AD54"/>
    <mergeCell ref="U16:U17"/>
    <mergeCell ref="O47:O48"/>
    <mergeCell ref="K41:K43"/>
    <mergeCell ref="P29:P30"/>
    <mergeCell ref="P32:P33"/>
    <mergeCell ref="P34:P35"/>
    <mergeCell ref="T16:T17"/>
    <mergeCell ref="K38:K39"/>
    <mergeCell ref="O34:O35"/>
    <mergeCell ref="O32:O33"/>
    <mergeCell ref="U38:U39"/>
    <mergeCell ref="AD27:AD28"/>
    <mergeCell ref="O41:O43"/>
  </mergeCells>
  <conditionalFormatting sqref="W40:W60 H8:H60 M8:M60 R8:R60 AB34:AB60 W34:W37">
    <cfRule type="cellIs" dxfId="10" priority="14" operator="greaterThan">
      <formula>4</formula>
    </cfRule>
  </conditionalFormatting>
  <conditionalFormatting sqref="W8:W15 W18:W32">
    <cfRule type="cellIs" dxfId="9" priority="11" operator="greaterThan">
      <formula>4</formula>
    </cfRule>
  </conditionalFormatting>
  <conditionalFormatting sqref="AB8:AB15 AB18:AB32">
    <cfRule type="cellIs" dxfId="8" priority="10" operator="greaterThan">
      <formula>4</formula>
    </cfRule>
  </conditionalFormatting>
  <conditionalFormatting sqref="W16:W17">
    <cfRule type="cellIs" dxfId="7" priority="9" operator="greaterThan">
      <formula>4</formula>
    </cfRule>
  </conditionalFormatting>
  <conditionalFormatting sqref="W33">
    <cfRule type="cellIs" dxfId="6" priority="7" operator="greaterThan">
      <formula>4</formula>
    </cfRule>
  </conditionalFormatting>
  <conditionalFormatting sqref="W38:W39">
    <cfRule type="cellIs" dxfId="5" priority="6" operator="greaterThan">
      <formula>4</formula>
    </cfRule>
  </conditionalFormatting>
  <conditionalFormatting sqref="AB33">
    <cfRule type="cellIs" dxfId="4" priority="5" operator="greaterThan">
      <formula>4</formula>
    </cfRule>
  </conditionalFormatting>
  <conditionalFormatting sqref="AB16:AB17">
    <cfRule type="cellIs" dxfId="3" priority="4" operator="greaterThan">
      <formula>4</formula>
    </cfRule>
  </conditionalFormatting>
  <conditionalFormatting sqref="AG16:AG17">
    <cfRule type="cellIs" dxfId="2" priority="3" operator="greaterThan">
      <formula>4</formula>
    </cfRule>
  </conditionalFormatting>
  <conditionalFormatting sqref="AG33">
    <cfRule type="cellIs" dxfId="1" priority="2" operator="greaterThan">
      <formula>4</formula>
    </cfRule>
  </conditionalFormatting>
  <conditionalFormatting sqref="AG57:AG60">
    <cfRule type="cellIs" dxfId="0" priority="1" operator="greaterThan">
      <formula>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F812578A9249984E6A81D86A58F9" ma:contentTypeVersion="12" ma:contentTypeDescription="Create a new document." ma:contentTypeScope="" ma:versionID="f2f013c7502a6c5e4068923bd23dfef4">
  <xsd:schema xmlns:xsd="http://www.w3.org/2001/XMLSchema" xmlns:xs="http://www.w3.org/2001/XMLSchema" xmlns:p="http://schemas.microsoft.com/office/2006/metadata/properties" xmlns:ns2="bac1b4bd-e36d-4bd7-a12e-5a3ed8e0a3a0" xmlns:ns3="8415db7d-44cc-4dd3-8909-2fbd3db14390" targetNamespace="http://schemas.microsoft.com/office/2006/metadata/properties" ma:root="true" ma:fieldsID="b570343c6fe753a1aa35838d07321bfb" ns2:_="" ns3:_="">
    <xsd:import namespace="bac1b4bd-e36d-4bd7-a12e-5a3ed8e0a3a0"/>
    <xsd:import namespace="8415db7d-44cc-4dd3-8909-2fbd3db14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1b4bd-e36d-4bd7-a12e-5a3ed8e0a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e5ac87-0055-4ddc-8316-51e615eba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5db7d-44cc-4dd3-8909-2fbd3db143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751ee9-a7ef-4841-9684-7f508fb54d8d}" ma:internalName="TaxCatchAll" ma:showField="CatchAllData" ma:web="8415db7d-44cc-4dd3-8909-2fbd3db14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5db7d-44cc-4dd3-8909-2fbd3db14390" xsi:nil="true"/>
    <lcf76f155ced4ddcb4097134ff3c332f xmlns="bac1b4bd-e36d-4bd7-a12e-5a3ed8e0a3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671F82-E0B3-400B-AE98-BC0D44A2B8CD}"/>
</file>

<file path=customXml/itemProps2.xml><?xml version="1.0" encoding="utf-8"?>
<ds:datastoreItem xmlns:ds="http://schemas.openxmlformats.org/officeDocument/2006/customXml" ds:itemID="{372DE485-19E7-43EE-8213-ACF9AF6C607A}"/>
</file>

<file path=customXml/itemProps3.xml><?xml version="1.0" encoding="utf-8"?>
<ds:datastoreItem xmlns:ds="http://schemas.openxmlformats.org/officeDocument/2006/customXml" ds:itemID="{EBD550BF-E560-47B5-A444-8FDD84EB9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 Cho</dc:creator>
  <cp:keywords/>
  <dc:description/>
  <cp:lastModifiedBy>MP6.5 MT</cp:lastModifiedBy>
  <cp:revision/>
  <dcterms:created xsi:type="dcterms:W3CDTF">2026-03-26T04:04:21Z</dcterms:created>
  <dcterms:modified xsi:type="dcterms:W3CDTF">2026-03-31T03:05:45Z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0x0101002F1FF812578A9249984E6A81D86A58F9</vt:lpwstr>
  </property>
  <property fmtid="{D5CDD505-2E9C-101B-9397-08002B2CF9AE}" pid="3" name="MediaServiceImageTags">
    <vt:lpwstr/>
  </property>
</Properties>
</file>