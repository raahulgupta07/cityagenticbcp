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itymhl.sharepoint.com/sites/CorporateServicesProcurement/Shared Documents/BCP_ Fuel/"/>
    </mc:Choice>
  </mc:AlternateContent>
  <xr:revisionPtr revIDLastSave="893" documentId="13_ncr:1_{76F3CC4B-26B6-403A-B979-4BFD4947735F}" xr6:coauthVersionLast="47" xr6:coauthVersionMax="47" xr10:uidLastSave="{269DB2AE-00E1-4826-BF25-B72878B7407A}"/>
  <bookViews>
    <workbookView xWindow="-108" yWindow="-108" windowWidth="23256" windowHeight="12456" xr2:uid="{31742421-6191-496F-925A-69F86EE48E66}"/>
  </bookViews>
  <sheets>
    <sheet name="CMH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" i="2" l="1"/>
  <c r="AC49" i="2"/>
  <c r="AD49" i="2"/>
  <c r="Y49" i="2"/>
  <c r="W14" i="2"/>
  <c r="T52" i="2"/>
  <c r="T49" i="2"/>
  <c r="S49" i="2"/>
  <c r="AN51" i="2"/>
  <c r="AM51" i="2"/>
  <c r="AL51" i="2"/>
  <c r="AN45" i="2"/>
  <c r="AM45" i="2"/>
  <c r="AL45" i="2"/>
  <c r="AN42" i="2"/>
  <c r="AM42" i="2"/>
  <c r="AL42" i="2"/>
  <c r="AN37" i="2"/>
  <c r="AM37" i="2"/>
  <c r="AL37" i="2"/>
  <c r="AN29" i="2"/>
  <c r="AM29" i="2"/>
  <c r="AL29" i="2"/>
  <c r="AN4" i="2"/>
  <c r="AM4" i="2"/>
  <c r="AL4" i="2"/>
  <c r="AI51" i="2"/>
  <c r="AH51" i="2"/>
  <c r="AG51" i="2"/>
  <c r="AI45" i="2"/>
  <c r="AH45" i="2"/>
  <c r="AG45" i="2"/>
  <c r="AI42" i="2"/>
  <c r="AH42" i="2"/>
  <c r="AG42" i="2"/>
  <c r="AI37" i="2"/>
  <c r="AH37" i="2"/>
  <c r="AG37" i="2"/>
  <c r="AI29" i="2"/>
  <c r="AI4" i="2" s="1"/>
  <c r="AH29" i="2"/>
  <c r="AH4" i="2" s="1"/>
  <c r="AG29" i="2"/>
  <c r="AG4" i="2"/>
  <c r="AB51" i="2"/>
  <c r="AD51" i="2"/>
  <c r="AC51" i="2"/>
  <c r="AD45" i="2"/>
  <c r="AC45" i="2"/>
  <c r="AB45" i="2"/>
  <c r="AD42" i="2"/>
  <c r="AC42" i="2"/>
  <c r="AB42" i="2"/>
  <c r="AD37" i="2"/>
  <c r="AC37" i="2"/>
  <c r="AB37" i="2"/>
  <c r="AD29" i="2"/>
  <c r="AB29" i="2"/>
  <c r="AC29" i="2"/>
  <c r="W29" i="2"/>
  <c r="W37" i="2"/>
  <c r="W42" i="2"/>
  <c r="W45" i="2"/>
  <c r="W51" i="2"/>
  <c r="W4" i="2"/>
  <c r="X29" i="2"/>
  <c r="X37" i="2"/>
  <c r="X42" i="2"/>
  <c r="X45" i="2"/>
  <c r="X51" i="2"/>
  <c r="X4" i="2"/>
  <c r="Y29" i="2"/>
  <c r="Y37" i="2"/>
  <c r="Y42" i="2"/>
  <c r="Y45" i="2"/>
  <c r="Y51" i="2"/>
  <c r="Y4" i="2"/>
  <c r="T29" i="2"/>
  <c r="T37" i="2"/>
  <c r="T42" i="2"/>
  <c r="T45" i="2"/>
  <c r="T51" i="2"/>
  <c r="T4" i="2"/>
  <c r="O8" i="2"/>
  <c r="O29" i="2"/>
  <c r="O37" i="2"/>
  <c r="O42" i="2"/>
  <c r="O45" i="2"/>
  <c r="O49" i="2"/>
  <c r="O51" i="2"/>
  <c r="O4" i="2"/>
  <c r="J29" i="2"/>
  <c r="J37" i="2"/>
  <c r="J42" i="2"/>
  <c r="J45" i="2"/>
  <c r="J49" i="2"/>
  <c r="J51" i="2"/>
  <c r="J4" i="2"/>
  <c r="R51" i="2"/>
  <c r="S51" i="2"/>
  <c r="R45" i="2"/>
  <c r="S45" i="2"/>
  <c r="R42" i="2"/>
  <c r="S42" i="2"/>
  <c r="R37" i="2"/>
  <c r="S37" i="2"/>
  <c r="R29" i="2"/>
  <c r="S29" i="2"/>
  <c r="R4" i="2"/>
  <c r="S4" i="2"/>
  <c r="N8" i="2"/>
  <c r="N49" i="2"/>
  <c r="I49" i="2"/>
  <c r="N16" i="2"/>
  <c r="M14" i="2"/>
  <c r="H14" i="2"/>
  <c r="M51" i="2"/>
  <c r="H51" i="2"/>
  <c r="I51" i="2"/>
  <c r="N48" i="2"/>
  <c r="N51" i="2"/>
  <c r="N45" i="2"/>
  <c r="M45" i="2"/>
  <c r="I45" i="2"/>
  <c r="H45" i="2"/>
  <c r="M42" i="2"/>
  <c r="I42" i="2"/>
  <c r="H42" i="2"/>
  <c r="N39" i="2"/>
  <c r="N42" i="2"/>
  <c r="G39" i="2"/>
  <c r="N37" i="2"/>
  <c r="M37" i="2"/>
  <c r="I37" i="2"/>
  <c r="H37" i="2"/>
  <c r="G36" i="2"/>
  <c r="G35" i="2"/>
  <c r="G33" i="2"/>
  <c r="G32" i="2"/>
  <c r="G31" i="2"/>
  <c r="M29" i="2"/>
  <c r="H29" i="2"/>
  <c r="G24" i="2"/>
  <c r="G23" i="2"/>
  <c r="G22" i="2"/>
  <c r="G21" i="2"/>
  <c r="G20" i="2"/>
  <c r="G19" i="2"/>
  <c r="I16" i="2"/>
  <c r="G16" i="2"/>
  <c r="G14" i="2"/>
  <c r="G13" i="2"/>
  <c r="G12" i="2"/>
  <c r="N11" i="2"/>
  <c r="I11" i="2"/>
  <c r="G11" i="2"/>
  <c r="G10" i="2"/>
  <c r="G9" i="2"/>
  <c r="G8" i="2"/>
  <c r="G7" i="2"/>
  <c r="G6" i="2"/>
  <c r="I29" i="2"/>
  <c r="I4" i="2"/>
  <c r="M4" i="2"/>
  <c r="N29" i="2"/>
  <c r="N4" i="2"/>
  <c r="H4" i="2"/>
  <c r="AC4" i="2" l="1"/>
  <c r="AD4" i="2"/>
  <c r="AB4" i="2"/>
</calcChain>
</file>

<file path=xl/sharedStrings.xml><?xml version="1.0" encoding="utf-8"?>
<sst xmlns="http://schemas.openxmlformats.org/spreadsheetml/2006/main" count="114" uniqueCount="53">
  <si>
    <t>စက်သုံးဆီဆိုင်မဟုတ်သည့် အခြားကဏ္ဍများ အရေးပေါ်စက်သုံးဆီလိုအပ်ချက်များ တင်ပြခြင်း</t>
  </si>
  <si>
    <t>*Generator run hour ကို နာရီပြောင်းပြီး ဖြည့်ပေးပါ။ ဥပမာ။ 5:15 ဆိုရင် 5+(15/60)= 5.25 Hr   * spare tank balalce ကို site တစ်ခုအတွက် spare tank+drum အားလုံးစုစုပေါင်းပြီး တစ်ကြောင်းဘဲဖြည့်ပေးပါ။ Genrrator တစ်လုံးထက်ပိုသော site များအတွက် ကြိုက်ရာ generator တစ်ခု၏ဘေးတွင်ရေးပေးပါ။</t>
  </si>
  <si>
    <t>စဥ်</t>
  </si>
  <si>
    <t>Location</t>
  </si>
  <si>
    <t>Type (Regular/ LNG)</t>
  </si>
  <si>
    <t>ဆီအမျိုးအစား (PD/HSD)</t>
  </si>
  <si>
    <t>ဝယ်ယူခဲ့ သည့် ကုမ္ပဏီ</t>
  </si>
  <si>
    <t>Machine
 Power</t>
  </si>
  <si>
    <t>Consumpiton
 Per Hour</t>
  </si>
  <si>
    <t>မသိရင် မဖြည့်လဲရပါသည်</t>
  </si>
  <si>
    <t>KVA</t>
  </si>
  <si>
    <t>Liter</t>
  </si>
  <si>
    <t>Gen Run
Hr</t>
  </si>
  <si>
    <t>Daily Used  (L)</t>
  </si>
  <si>
    <t>Spare Tank+drum Balance (L)</t>
  </si>
  <si>
    <t xml:space="preserve">Spare Tank+drum Balance (L) </t>
  </si>
  <si>
    <t>ALL Total</t>
  </si>
  <si>
    <t>CMJSQ</t>
  </si>
  <si>
    <t>PD</t>
  </si>
  <si>
    <t>Denko</t>
  </si>
  <si>
    <t>CMJMT</t>
  </si>
  <si>
    <t>CMISPK</t>
  </si>
  <si>
    <t>CMJ8</t>
  </si>
  <si>
    <t>CMZWN</t>
  </si>
  <si>
    <t>CMYK</t>
  </si>
  <si>
    <t>-</t>
  </si>
  <si>
    <t>CMFMI</t>
  </si>
  <si>
    <t>CMCWHAL</t>
  </si>
  <si>
    <t>CMAL</t>
  </si>
  <si>
    <t>CMBH</t>
  </si>
  <si>
    <t>CMAT</t>
  </si>
  <si>
    <t>CM50</t>
  </si>
  <si>
    <t>OCGMP(only Frz &amp; Chi)night only</t>
  </si>
  <si>
    <t>LNG</t>
  </si>
  <si>
    <t>MNC38Q</t>
  </si>
  <si>
    <t>MNCNOTDN</t>
  </si>
  <si>
    <t>MNC0'Mile</t>
  </si>
  <si>
    <t>MNCSMK</t>
  </si>
  <si>
    <t>MNCTTMSO</t>
  </si>
  <si>
    <t>MNC41Q</t>
  </si>
  <si>
    <t>MNCBBH</t>
  </si>
  <si>
    <t>MNCPRM</t>
  </si>
  <si>
    <t>MNCLT</t>
  </si>
  <si>
    <t>DC09</t>
  </si>
  <si>
    <t>Regular</t>
  </si>
  <si>
    <t>DC02 F&amp;P</t>
  </si>
  <si>
    <t>DC02 F&amp;P(KSS)</t>
  </si>
  <si>
    <t>HO</t>
  </si>
  <si>
    <t xml:space="preserve">SSWH ( FM) </t>
  </si>
  <si>
    <t>MCS (152)Stores</t>
  </si>
  <si>
    <t>OCJN</t>
  </si>
  <si>
    <t>OCTG</t>
  </si>
  <si>
    <t>OCDP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</si>
</sst>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\-mmm\-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rgb="FF000000"/>
      <name val="Pyidaungsu"/>
    </font>
    <font>
      <sz val="8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2" borderId="0" xfId="1" applyNumberFormat="1" applyFont="1" applyFill="1" applyAlignment="1">
      <alignment horizontal="center" vertical="center" wrapText="1"/>
    </xf>
    <xf numFmtId="4" fontId="4" fillId="2" borderId="0" xfId="1" applyNumberFormat="1" applyFont="1" applyFill="1" applyAlignment="1">
      <alignment vertical="center"/>
    </xf>
    <xf numFmtId="4" fontId="4" fillId="2" borderId="0" xfId="0" applyNumberFormat="1" applyFont="1" applyFill="1" applyAlignment="1">
      <alignment vertical="center"/>
    </xf>
    <xf numFmtId="4" fontId="4" fillId="0" borderId="0" xfId="0" applyNumberFormat="1" applyFont="1" applyAlignment="1">
      <alignment horizontal="left" vertical="center" wrapText="1" readingOrder="1"/>
    </xf>
    <xf numFmtId="4" fontId="4" fillId="0" borderId="0" xfId="1" applyNumberFormat="1" applyFont="1" applyFill="1" applyAlignment="1">
      <alignment vertical="center" wrapText="1"/>
    </xf>
    <xf numFmtId="4" fontId="4" fillId="0" borderId="0" xfId="0" applyNumberFormat="1" applyFont="1" applyAlignment="1">
      <alignment horizontal="left" vertical="center" readingOrder="1"/>
    </xf>
    <xf numFmtId="4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/>
    </xf>
    <xf numFmtId="4" fontId="4" fillId="2" borderId="0" xfId="0" applyNumberFormat="1" applyFont="1" applyFill="1" applyAlignment="1">
      <alignment horizontal="right" vertical="center"/>
    </xf>
    <xf numFmtId="4" fontId="3" fillId="0" borderId="0" xfId="0" applyNumberFormat="1" applyFont="1" applyAlignment="1">
      <alignment horizontal="left" vertical="center" wrapText="1" readingOrder="1"/>
    </xf>
    <xf numFmtId="3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4" fillId="2" borderId="0" xfId="1" applyNumberFormat="1" applyFont="1" applyFill="1" applyAlignment="1">
      <alignment horizontal="center" vertical="center" wrapText="1"/>
    </xf>
    <xf numFmtId="3" fontId="4" fillId="0" borderId="0" xfId="1" applyNumberFormat="1" applyFont="1" applyFill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3" fontId="4" fillId="2" borderId="0" xfId="0" applyNumberFormat="1" applyFont="1" applyFill="1" applyAlignment="1">
      <alignment vertical="center"/>
    </xf>
    <xf numFmtId="3" fontId="4" fillId="0" borderId="0" xfId="0" applyNumberFormat="1" applyFont="1" applyAlignment="1">
      <alignment horizontal="right" vertical="center" wrapText="1"/>
    </xf>
    <xf numFmtId="3" fontId="4" fillId="2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left" vertical="center" wrapText="1" readingOrder="1"/>
    </xf>
    <xf numFmtId="3" fontId="8" fillId="0" borderId="0" xfId="0" applyNumberFormat="1" applyFont="1" applyAlignment="1">
      <alignment horizontal="center" vertical="center"/>
    </xf>
    <xf numFmtId="4" fontId="8" fillId="0" borderId="0" xfId="1" applyNumberFormat="1" applyFont="1" applyFill="1" applyAlignment="1">
      <alignment vertical="center" wrapText="1"/>
    </xf>
    <xf numFmtId="3" fontId="8" fillId="0" borderId="0" xfId="1" applyNumberFormat="1" applyFont="1" applyFill="1" applyAlignment="1">
      <alignment vertical="center" wrapText="1"/>
    </xf>
    <xf numFmtId="4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7" fillId="0" borderId="0" xfId="0" applyFont="1"/>
    <xf numFmtId="4" fontId="2" fillId="0" borderId="0" xfId="0" applyNumberFormat="1" applyFont="1"/>
    <xf numFmtId="4" fontId="9" fillId="0" borderId="0" xfId="0" applyNumberFormat="1" applyFont="1"/>
    <xf numFmtId="4" fontId="2" fillId="0" borderId="0" xfId="0" applyNumberFormat="1" applyFont="1" applyAlignment="1">
      <alignment horizontal="center" vertical="center" textRotation="90"/>
    </xf>
    <xf numFmtId="4" fontId="2" fillId="0" borderId="0" xfId="0" applyNumberFormat="1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B9D0-56B1-4F91-B721-BF36EC31BC08}">
  <dimension ref="A1:AN92"/>
  <sheetViews>
    <sheetView tabSelected="1" zoomScaleNormal="100" workbookViewId="0">
      <pane xSplit="7" ySplit="5" topLeftCell="T39" activePane="bottomRight" state="frozen"/>
      <selection pane="topRight" activeCell="H1" sqref="H1"/>
      <selection pane="bottomLeft" activeCell="A8" sqref="A8"/>
      <selection pane="bottomRight" activeCell="AL49" sqref="AL49"/>
    </sheetView>
  </sheetViews>
  <sheetFormatPr defaultColWidth="9.88671875" defaultRowHeight="13.5" customHeight="1" x14ac:dyDescent="0.3"/>
  <cols>
    <col min="1" max="1" width="5.88671875" style="30" customWidth="1"/>
    <col min="2" max="2" width="15.5546875" style="2" customWidth="1"/>
    <col min="3" max="3" width="8" style="2" customWidth="1"/>
    <col min="4" max="4" width="5" style="6" customWidth="1"/>
    <col min="5" max="5" width="6.6640625" style="6" customWidth="1"/>
    <col min="6" max="6" width="8.6640625" style="20" customWidth="1"/>
    <col min="7" max="7" width="10.33203125" style="20" customWidth="1"/>
    <col min="8" max="8" width="10" style="2" customWidth="1"/>
    <col min="9" max="9" width="13.5546875" style="20" customWidth="1"/>
    <col min="10" max="10" width="10" style="20" customWidth="1"/>
    <col min="11" max="11" width="2.5546875" style="20" customWidth="1"/>
    <col min="12" max="12" width="2.5546875" style="2" customWidth="1"/>
    <col min="13" max="13" width="7.33203125" style="2" customWidth="1"/>
    <col min="14" max="14" width="8.5546875" style="20" bestFit="1" customWidth="1"/>
    <col min="15" max="15" width="10.33203125" style="20" customWidth="1"/>
    <col min="16" max="16" width="5.5546875" style="20" customWidth="1"/>
    <col min="17" max="17" width="2.88671875" style="2" customWidth="1"/>
    <col min="18" max="18" width="9.88671875" style="2"/>
    <col min="19" max="20" width="9.88671875" style="20"/>
    <col min="21" max="21" width="3.6640625" style="20" customWidth="1"/>
    <col min="22" max="22" width="4.6640625" style="2" customWidth="1"/>
    <col min="23" max="23" width="9.88671875" style="2"/>
    <col min="24" max="25" width="9.88671875" style="20"/>
    <col min="26" max="26" width="2.88671875" style="20" customWidth="1"/>
    <col min="27" max="27" width="3.44140625" style="2" customWidth="1"/>
    <col min="28" max="30" width="9.88671875" style="2"/>
    <col min="31" max="31" width="2.44140625" style="2" customWidth="1"/>
    <col min="32" max="32" width="5.109375" style="2" customWidth="1"/>
    <col min="33" max="35" width="9.88671875" style="2"/>
    <col min="36" max="37" width="3.6640625" style="2" customWidth="1"/>
    <col min="38" max="40" width="9.88671875" style="2"/>
    <col min="41" max="41" width="3.5546875" style="2" customWidth="1"/>
    <col min="42" max="42" width="3.109375" style="2" customWidth="1"/>
    <col min="43" max="16384" width="9.88671875" style="2"/>
  </cols>
  <sheetData>
    <row r="1" spans="1:40" s="1" customFormat="1" ht="13.8" x14ac:dyDescent="0.25">
      <c r="A1" s="29" t="s">
        <v>0</v>
      </c>
      <c r="D1" s="36"/>
      <c r="E1" s="36"/>
      <c r="F1" s="19"/>
      <c r="G1" s="19"/>
      <c r="H1" s="52" t="s">
        <v>1</v>
      </c>
      <c r="I1" s="20"/>
      <c r="J1" s="20"/>
      <c r="K1" s="20"/>
      <c r="L1" s="2"/>
      <c r="M1" s="3"/>
      <c r="N1" s="5"/>
      <c r="O1" s="28"/>
      <c r="P1" s="28"/>
      <c r="S1" s="28"/>
      <c r="T1" s="28"/>
      <c r="U1" s="28"/>
      <c r="X1" s="28"/>
      <c r="Y1" s="28"/>
      <c r="Z1" s="28"/>
      <c r="AB1" s="2"/>
      <c r="AC1" s="20"/>
      <c r="AD1" s="20"/>
      <c r="AE1" s="20"/>
      <c r="AG1" s="2"/>
      <c r="AH1" s="20"/>
      <c r="AI1" s="20"/>
      <c r="AJ1" s="20"/>
      <c r="AL1" s="2"/>
      <c r="AM1" s="20"/>
      <c r="AN1" s="20"/>
    </row>
    <row r="2" spans="1:40" s="35" customFormat="1" ht="43.5" customHeight="1" x14ac:dyDescent="0.3">
      <c r="A2" s="56" t="s">
        <v>2</v>
      </c>
      <c r="B2" s="57" t="s">
        <v>3</v>
      </c>
      <c r="C2" s="32" t="s">
        <v>4</v>
      </c>
      <c r="D2" s="31" t="s">
        <v>5</v>
      </c>
      <c r="E2" s="31" t="s">
        <v>6</v>
      </c>
      <c r="F2" s="33" t="s">
        <v>7</v>
      </c>
      <c r="G2" s="34" t="s">
        <v>8</v>
      </c>
      <c r="H2" s="53">
        <v>46106</v>
      </c>
      <c r="I2" s="53"/>
      <c r="J2" s="54"/>
      <c r="K2" s="50"/>
      <c r="M2" s="53">
        <v>46107</v>
      </c>
      <c r="N2" s="53"/>
      <c r="O2" s="58"/>
      <c r="P2" s="51"/>
      <c r="R2" s="53">
        <v>46108</v>
      </c>
      <c r="S2" s="53"/>
      <c r="T2" s="58"/>
      <c r="U2" s="51"/>
      <c r="W2" s="53">
        <v>46109</v>
      </c>
      <c r="X2" s="53"/>
      <c r="Y2" s="58"/>
      <c r="Z2" s="51"/>
      <c r="AB2" s="53">
        <v>46110</v>
      </c>
      <c r="AC2" s="53"/>
      <c r="AD2" s="54"/>
      <c r="AE2" s="50"/>
      <c r="AG2" s="53">
        <v>46111</v>
      </c>
      <c r="AH2" s="53"/>
      <c r="AI2" s="54"/>
      <c r="AJ2" s="50"/>
      <c r="AL2" s="53">
        <v>46112</v>
      </c>
      <c r="AM2" s="53"/>
      <c r="AN2" s="54"/>
    </row>
    <row r="3" spans="1:40" s="35" customFormat="1" ht="51" customHeight="1" x14ac:dyDescent="0.3">
      <c r="A3" s="56"/>
      <c r="B3" s="57"/>
      <c r="C3" s="36"/>
      <c r="D3" s="31" t="s">
        <v>9</v>
      </c>
      <c r="E3" s="31" t="s">
        <v>9</v>
      </c>
      <c r="F3" s="33" t="s">
        <v>10</v>
      </c>
      <c r="G3" s="33" t="s">
        <v>11</v>
      </c>
      <c r="H3" s="32" t="s">
        <v>12</v>
      </c>
      <c r="I3" s="33" t="s">
        <v>13</v>
      </c>
      <c r="J3" s="33" t="s">
        <v>14</v>
      </c>
      <c r="K3" s="33"/>
      <c r="M3" s="32" t="s">
        <v>12</v>
      </c>
      <c r="N3" s="33" t="s">
        <v>13</v>
      </c>
      <c r="O3" s="33" t="s">
        <v>15</v>
      </c>
      <c r="P3" s="33"/>
      <c r="R3" s="32" t="s">
        <v>12</v>
      </c>
      <c r="S3" s="33" t="s">
        <v>13</v>
      </c>
      <c r="T3" s="33" t="s">
        <v>15</v>
      </c>
      <c r="U3" s="33"/>
      <c r="W3" s="32" t="s">
        <v>12</v>
      </c>
      <c r="X3" s="33" t="s">
        <v>13</v>
      </c>
      <c r="Y3" s="33" t="s">
        <v>15</v>
      </c>
      <c r="Z3" s="33"/>
      <c r="AB3" s="32" t="s">
        <v>12</v>
      </c>
      <c r="AC3" s="33" t="s">
        <v>13</v>
      </c>
      <c r="AD3" s="33" t="s">
        <v>14</v>
      </c>
      <c r="AE3" s="33"/>
      <c r="AG3" s="32" t="s">
        <v>12</v>
      </c>
      <c r="AH3" s="33" t="s">
        <v>13</v>
      </c>
      <c r="AI3" s="33" t="s">
        <v>14</v>
      </c>
      <c r="AJ3" s="33"/>
      <c r="AL3" s="32" t="s">
        <v>12</v>
      </c>
      <c r="AM3" s="33" t="s">
        <v>13</v>
      </c>
      <c r="AN3" s="33" t="s">
        <v>14</v>
      </c>
    </row>
    <row r="4" spans="1:40" s="7" customFormat="1" ht="13.8" x14ac:dyDescent="0.3">
      <c r="A4" s="55" t="s">
        <v>16</v>
      </c>
      <c r="B4" s="55"/>
      <c r="C4" s="55"/>
      <c r="D4" s="55"/>
      <c r="E4" s="55"/>
      <c r="F4" s="55"/>
      <c r="G4" s="55"/>
      <c r="H4" s="8">
        <f>(H29+H37+H42+H45+H51)</f>
        <v>86.076666666666654</v>
      </c>
      <c r="I4" s="21">
        <f>I29+I37+I42+I45+I51</f>
        <v>2162.2460000000001</v>
      </c>
      <c r="J4" s="21">
        <f>J29+J37+J42+J45+J51</f>
        <v>53540.477999999996</v>
      </c>
      <c r="K4" s="21"/>
      <c r="L4" s="9"/>
      <c r="M4" s="8">
        <f>(M29+M37+M42+M45+M51)</f>
        <v>89.54</v>
      </c>
      <c r="N4" s="21">
        <f>N29+N37+N42+N45+N51</f>
        <v>2189.2719999999999</v>
      </c>
      <c r="O4" s="21">
        <f>O29+O37+O42+O45+O51</f>
        <v>55190.671999999991</v>
      </c>
      <c r="P4" s="21"/>
      <c r="Q4" s="10"/>
      <c r="R4" s="8">
        <f>(R29+R37+R42+R45+R51)</f>
        <v>76.63</v>
      </c>
      <c r="S4" s="21">
        <f>S29+S37+S42+S45+S51</f>
        <v>1189.5239999999999</v>
      </c>
      <c r="T4" s="21">
        <f>T29+T37+T42+T45+T51</f>
        <v>54935.430000000008</v>
      </c>
      <c r="U4" s="21"/>
      <c r="V4" s="10"/>
      <c r="W4" s="8">
        <f>(W29+W37+W42+W45+W51)</f>
        <v>143.12333333333331</v>
      </c>
      <c r="X4" s="21">
        <f>X29+X37+X42+X45+X51</f>
        <v>3047.45</v>
      </c>
      <c r="Y4" s="21">
        <f>Y29+Y37+Y42+Y45+Y51</f>
        <v>55620.600000000006</v>
      </c>
      <c r="Z4" s="21"/>
      <c r="AA4" s="10"/>
      <c r="AB4" s="8">
        <f>(AB29+AB37+AB42+AB45+AB51)</f>
        <v>89.15</v>
      </c>
      <c r="AC4" s="21">
        <f>AC29+AC37+AC42+AC45+AC51</f>
        <v>1718.7190000000001</v>
      </c>
      <c r="AD4" s="21">
        <f>AD29+AD37+AD42+AD45+AD51</f>
        <v>55795.839999999997</v>
      </c>
      <c r="AE4" s="21"/>
      <c r="AG4" s="8">
        <f>(AG29+AG37+AG42+AG45+AG51)</f>
        <v>155.10333333333332</v>
      </c>
      <c r="AH4" s="21">
        <f>AH29+AH37+AH42+AH45+AH51</f>
        <v>2619.0880000000002</v>
      </c>
      <c r="AI4" s="21">
        <f>AI29+AI37+AI42+AI45+AI51</f>
        <v>41410.04</v>
      </c>
      <c r="AJ4" s="21"/>
      <c r="AL4" s="8">
        <f>(AL29+AL37+AL42+AL45+AL51)</f>
        <v>0</v>
      </c>
      <c r="AM4" s="21">
        <f>AM29+AM37+AM42+AM45+AM51</f>
        <v>0</v>
      </c>
      <c r="AN4" s="21">
        <f>AN29+AN37+AN42+AN45+AN51</f>
        <v>0</v>
      </c>
    </row>
    <row r="5" spans="1:40" customFormat="1" ht="14.4" x14ac:dyDescent="0.3">
      <c r="D5" s="44"/>
      <c r="E5" s="44"/>
    </row>
    <row r="6" spans="1:40" s="7" customFormat="1" ht="13.8" x14ac:dyDescent="0.25">
      <c r="A6" s="4">
        <v>1</v>
      </c>
      <c r="B6" s="11" t="s">
        <v>17</v>
      </c>
      <c r="C6" s="11"/>
      <c r="D6" s="45" t="s">
        <v>18</v>
      </c>
      <c r="E6" s="45" t="s">
        <v>19</v>
      </c>
      <c r="F6" s="5">
        <v>220</v>
      </c>
      <c r="G6" s="5">
        <f>8*4.546</f>
        <v>36.368000000000002</v>
      </c>
      <c r="H6" s="12">
        <v>0</v>
      </c>
      <c r="I6" s="22">
        <v>0</v>
      </c>
      <c r="J6" s="22">
        <v>1091.04</v>
      </c>
      <c r="K6" s="22"/>
      <c r="M6" s="14">
        <v>0</v>
      </c>
      <c r="N6" s="22">
        <v>0</v>
      </c>
      <c r="O6" s="20">
        <v>1091.04</v>
      </c>
      <c r="P6" s="20"/>
      <c r="R6" s="14">
        <v>0</v>
      </c>
      <c r="S6" s="7">
        <v>0</v>
      </c>
      <c r="T6" s="20">
        <v>1091.04</v>
      </c>
      <c r="U6" s="20"/>
      <c r="W6" s="7">
        <v>0.25</v>
      </c>
      <c r="X6" s="7">
        <v>0</v>
      </c>
      <c r="Y6" s="20">
        <v>1091.04</v>
      </c>
      <c r="Z6" s="20"/>
      <c r="AB6" s="7">
        <v>0</v>
      </c>
      <c r="AC6" s="7">
        <v>0</v>
      </c>
      <c r="AD6" s="20">
        <v>1091.04</v>
      </c>
      <c r="AE6" s="20"/>
      <c r="AG6" s="7">
        <v>0</v>
      </c>
      <c r="AH6" s="7">
        <v>0</v>
      </c>
      <c r="AI6" s="22"/>
      <c r="AJ6" s="22"/>
      <c r="AL6" s="12"/>
      <c r="AM6" s="22"/>
      <c r="AN6" s="22"/>
    </row>
    <row r="7" spans="1:40" s="7" customFormat="1" ht="13.8" x14ac:dyDescent="0.25">
      <c r="A7" s="4">
        <v>2</v>
      </c>
      <c r="B7" s="11" t="s">
        <v>20</v>
      </c>
      <c r="C7" s="11"/>
      <c r="D7" s="45" t="s">
        <v>18</v>
      </c>
      <c r="E7" s="45" t="s">
        <v>19</v>
      </c>
      <c r="F7" s="5">
        <v>275</v>
      </c>
      <c r="G7" s="5">
        <f>10*4.546</f>
        <v>45.46</v>
      </c>
      <c r="H7" s="12">
        <v>0.25</v>
      </c>
      <c r="I7" s="22">
        <v>0</v>
      </c>
      <c r="J7" s="22">
        <v>1777</v>
      </c>
      <c r="K7" s="22"/>
      <c r="M7" s="14">
        <v>1.75</v>
      </c>
      <c r="N7" s="22">
        <v>45</v>
      </c>
      <c r="O7" s="20">
        <v>1732</v>
      </c>
      <c r="P7" s="20"/>
      <c r="R7" s="14">
        <v>3</v>
      </c>
      <c r="S7" s="20">
        <v>60</v>
      </c>
      <c r="T7" s="20">
        <v>1672</v>
      </c>
      <c r="U7" s="20"/>
      <c r="W7" s="7">
        <v>0.25</v>
      </c>
      <c r="X7" s="20">
        <v>0</v>
      </c>
      <c r="Y7" s="20">
        <v>1672</v>
      </c>
      <c r="Z7" s="20"/>
      <c r="AB7" s="12">
        <v>0.25</v>
      </c>
      <c r="AC7" s="22">
        <v>0</v>
      </c>
      <c r="AD7" s="22">
        <v>1672</v>
      </c>
      <c r="AE7" s="22"/>
      <c r="AG7" s="12"/>
      <c r="AH7" s="22"/>
      <c r="AI7" s="22"/>
      <c r="AJ7" s="22"/>
      <c r="AL7" s="12"/>
      <c r="AM7" s="22"/>
      <c r="AN7" s="22"/>
    </row>
    <row r="8" spans="1:40" s="7" customFormat="1" ht="20.399999999999999" x14ac:dyDescent="0.7">
      <c r="A8" s="4">
        <v>3</v>
      </c>
      <c r="B8" s="11" t="s">
        <v>21</v>
      </c>
      <c r="C8" s="11"/>
      <c r="D8" s="45"/>
      <c r="E8" s="45"/>
      <c r="F8" s="5">
        <v>500</v>
      </c>
      <c r="G8" s="5">
        <f>15*4.546</f>
        <v>68.19</v>
      </c>
      <c r="H8" s="12">
        <v>3</v>
      </c>
      <c r="I8" s="22">
        <v>90</v>
      </c>
      <c r="J8" s="22">
        <v>1736</v>
      </c>
      <c r="K8" s="22"/>
      <c r="M8" s="14">
        <v>7</v>
      </c>
      <c r="N8" s="22">
        <f>52*4.546</f>
        <v>236.39200000000002</v>
      </c>
      <c r="O8" s="20">
        <f>520*4.56</f>
        <v>2371.1999999999998</v>
      </c>
      <c r="P8" s="20"/>
      <c r="R8" s="14">
        <v>3.3</v>
      </c>
      <c r="S8" s="20">
        <v>136.38</v>
      </c>
      <c r="T8" s="20">
        <v>2863.98</v>
      </c>
      <c r="U8" s="20"/>
      <c r="W8" s="7">
        <v>9.5500000000000007</v>
      </c>
      <c r="X8" s="20">
        <v>340.95</v>
      </c>
      <c r="Y8" s="20">
        <v>2477.5700000000002</v>
      </c>
      <c r="Z8" s="20"/>
      <c r="AB8" s="49">
        <v>3.4</v>
      </c>
      <c r="AC8" s="22">
        <v>136.38</v>
      </c>
      <c r="AD8" s="22">
        <v>2250.27</v>
      </c>
      <c r="AE8" s="22"/>
      <c r="AG8" s="12"/>
      <c r="AH8" s="22"/>
      <c r="AI8" s="22"/>
      <c r="AJ8" s="22"/>
      <c r="AL8" s="12"/>
      <c r="AM8" s="22"/>
      <c r="AN8" s="22"/>
    </row>
    <row r="9" spans="1:40" s="7" customFormat="1" ht="13.8" x14ac:dyDescent="0.25">
      <c r="A9" s="4">
        <v>4</v>
      </c>
      <c r="B9" s="11" t="s">
        <v>22</v>
      </c>
      <c r="C9" s="11"/>
      <c r="D9" s="45" t="s">
        <v>18</v>
      </c>
      <c r="E9" s="45" t="s">
        <v>19</v>
      </c>
      <c r="F9" s="5">
        <v>410</v>
      </c>
      <c r="G9" s="5">
        <f>13*4.546</f>
        <v>59.098000000000006</v>
      </c>
      <c r="H9" s="12">
        <v>2.5</v>
      </c>
      <c r="I9" s="22">
        <v>145</v>
      </c>
      <c r="J9" s="22">
        <v>991</v>
      </c>
      <c r="K9" s="22"/>
      <c r="M9" s="14">
        <v>1.5</v>
      </c>
      <c r="N9" s="22">
        <v>36</v>
      </c>
      <c r="O9" s="20">
        <v>1446</v>
      </c>
      <c r="P9" s="20"/>
      <c r="R9" s="14">
        <v>0.25</v>
      </c>
      <c r="S9" s="20">
        <v>8</v>
      </c>
      <c r="T9" s="20">
        <v>1923</v>
      </c>
      <c r="U9" s="20"/>
      <c r="W9" s="7">
        <v>0.25</v>
      </c>
      <c r="X9" s="20">
        <v>8</v>
      </c>
      <c r="Y9" s="20">
        <v>1946</v>
      </c>
      <c r="Z9" s="20"/>
      <c r="AB9" s="12">
        <v>0.25</v>
      </c>
      <c r="AC9" s="22">
        <v>8</v>
      </c>
      <c r="AD9" s="22">
        <v>1938</v>
      </c>
      <c r="AE9" s="22"/>
      <c r="AG9" s="12">
        <v>4.42</v>
      </c>
      <c r="AH9" s="22">
        <v>84</v>
      </c>
      <c r="AI9" s="22">
        <v>1854.768</v>
      </c>
      <c r="AJ9" s="22"/>
      <c r="AL9" s="12"/>
      <c r="AM9" s="22"/>
      <c r="AN9" s="22"/>
    </row>
    <row r="10" spans="1:40" s="7" customFormat="1" ht="13.8" x14ac:dyDescent="0.25">
      <c r="A10" s="4">
        <v>5</v>
      </c>
      <c r="B10" s="11" t="s">
        <v>23</v>
      </c>
      <c r="C10" s="11"/>
      <c r="D10" s="45" t="s">
        <v>18</v>
      </c>
      <c r="E10" s="45" t="s">
        <v>19</v>
      </c>
      <c r="F10" s="5">
        <v>350</v>
      </c>
      <c r="G10" s="5">
        <f>12*4.546</f>
        <v>54.552000000000007</v>
      </c>
      <c r="H10" s="12">
        <v>3</v>
      </c>
      <c r="I10" s="22">
        <v>81</v>
      </c>
      <c r="J10" s="22">
        <v>225</v>
      </c>
      <c r="K10" s="22"/>
      <c r="M10" s="14">
        <v>3</v>
      </c>
      <c r="N10" s="22">
        <v>81</v>
      </c>
      <c r="O10" s="20">
        <v>675</v>
      </c>
      <c r="P10" s="20"/>
      <c r="R10" s="14">
        <v>7.42</v>
      </c>
      <c r="S10" s="20">
        <v>196</v>
      </c>
      <c r="T10" s="20">
        <v>450</v>
      </c>
      <c r="U10" s="20"/>
      <c r="W10" s="7">
        <v>10</v>
      </c>
      <c r="X10" s="20">
        <v>270</v>
      </c>
      <c r="Y10" s="20">
        <v>247</v>
      </c>
      <c r="Z10" s="20"/>
      <c r="AB10" s="12">
        <v>12</v>
      </c>
      <c r="AC10" s="22">
        <v>324</v>
      </c>
      <c r="AD10" s="22">
        <v>585</v>
      </c>
      <c r="AE10" s="22"/>
      <c r="AG10" s="12">
        <v>8</v>
      </c>
      <c r="AH10" s="22">
        <v>216</v>
      </c>
      <c r="AI10" s="22">
        <v>202</v>
      </c>
      <c r="AJ10" s="22"/>
      <c r="AL10" s="12"/>
      <c r="AM10" s="22"/>
      <c r="AN10" s="22"/>
    </row>
    <row r="11" spans="1:40" s="7" customFormat="1" ht="13.8" x14ac:dyDescent="0.25">
      <c r="A11" s="4">
        <v>6</v>
      </c>
      <c r="B11" s="11" t="s">
        <v>24</v>
      </c>
      <c r="C11" s="11"/>
      <c r="D11" s="45" t="s">
        <v>18</v>
      </c>
      <c r="E11" s="45" t="s">
        <v>19</v>
      </c>
      <c r="F11" s="5">
        <v>350</v>
      </c>
      <c r="G11" s="5">
        <f>12*4.546</f>
        <v>54.552000000000007</v>
      </c>
      <c r="H11" s="12">
        <v>4</v>
      </c>
      <c r="I11" s="22">
        <f>26*4.546</f>
        <v>118.19600000000001</v>
      </c>
      <c r="J11" s="22">
        <v>1816</v>
      </c>
      <c r="K11" s="22"/>
      <c r="M11" s="14">
        <v>4.25</v>
      </c>
      <c r="N11" s="22">
        <f>30*4.546</f>
        <v>136.38</v>
      </c>
      <c r="O11" s="20">
        <v>1589</v>
      </c>
      <c r="P11" s="20"/>
      <c r="R11" s="14">
        <v>3</v>
      </c>
      <c r="S11" s="20" t="s">
        <v>25</v>
      </c>
      <c r="T11" s="20">
        <v>1666</v>
      </c>
      <c r="U11" s="20"/>
      <c r="W11" s="7">
        <v>8</v>
      </c>
      <c r="X11" s="20">
        <v>258</v>
      </c>
      <c r="Y11" s="20">
        <v>1407</v>
      </c>
      <c r="Z11" s="20"/>
      <c r="AB11" s="12">
        <v>5</v>
      </c>
      <c r="AC11" s="22">
        <v>32</v>
      </c>
      <c r="AD11" s="22">
        <v>1376</v>
      </c>
      <c r="AE11" s="22"/>
      <c r="AG11" s="12">
        <v>8</v>
      </c>
      <c r="AH11" s="22">
        <v>281.48</v>
      </c>
      <c r="AI11" s="22">
        <v>1094.1400000000001</v>
      </c>
      <c r="AJ11" s="22"/>
      <c r="AL11" s="12"/>
      <c r="AM11" s="22"/>
      <c r="AN11" s="22"/>
    </row>
    <row r="12" spans="1:40" s="7" customFormat="1" ht="13.8" x14ac:dyDescent="0.25">
      <c r="A12" s="4">
        <v>7</v>
      </c>
      <c r="B12" s="11" t="s">
        <v>26</v>
      </c>
      <c r="C12" s="11"/>
      <c r="D12" s="45" t="s">
        <v>18</v>
      </c>
      <c r="E12" s="45" t="s">
        <v>19</v>
      </c>
      <c r="F12" s="5">
        <v>315</v>
      </c>
      <c r="G12" s="5">
        <f>12*4.546</f>
        <v>54.552000000000007</v>
      </c>
      <c r="H12" s="12">
        <v>0.67</v>
      </c>
      <c r="I12" s="22">
        <v>13</v>
      </c>
      <c r="J12" s="22">
        <v>1336</v>
      </c>
      <c r="K12" s="22"/>
      <c r="M12" s="14">
        <v>0.67</v>
      </c>
      <c r="N12" s="22">
        <v>27</v>
      </c>
      <c r="O12" s="20">
        <v>1336</v>
      </c>
      <c r="P12" s="20"/>
      <c r="R12" s="20" t="s">
        <v>25</v>
      </c>
      <c r="S12" s="20" t="s">
        <v>25</v>
      </c>
      <c r="T12" s="20">
        <v>1336</v>
      </c>
      <c r="U12" s="20"/>
      <c r="W12" s="7">
        <v>0.83</v>
      </c>
      <c r="X12" s="20">
        <v>13</v>
      </c>
      <c r="Y12" s="20">
        <v>1336</v>
      </c>
      <c r="Z12" s="20"/>
      <c r="AB12" s="12">
        <v>0.25</v>
      </c>
      <c r="AC12" s="22">
        <v>4</v>
      </c>
      <c r="AD12" s="22">
        <v>1563</v>
      </c>
      <c r="AE12" s="22"/>
      <c r="AG12" s="12"/>
      <c r="AH12" s="22"/>
      <c r="AI12" s="22"/>
      <c r="AJ12" s="22"/>
      <c r="AL12" s="12"/>
      <c r="AM12" s="22"/>
      <c r="AN12" s="22"/>
    </row>
    <row r="13" spans="1:40" s="7" customFormat="1" ht="13.8" x14ac:dyDescent="0.25">
      <c r="A13" s="4">
        <v>8</v>
      </c>
      <c r="B13" s="11" t="s">
        <v>27</v>
      </c>
      <c r="C13" s="11"/>
      <c r="D13" s="45" t="s">
        <v>18</v>
      </c>
      <c r="E13" s="45" t="s">
        <v>19</v>
      </c>
      <c r="F13" s="5">
        <v>160</v>
      </c>
      <c r="G13" s="5">
        <f>7*4.546</f>
        <v>31.822000000000003</v>
      </c>
      <c r="H13" s="12">
        <v>2.15</v>
      </c>
      <c r="I13" s="22">
        <v>32</v>
      </c>
      <c r="J13" s="22">
        <v>1354</v>
      </c>
      <c r="K13" s="22"/>
      <c r="M13" s="14">
        <v>1</v>
      </c>
      <c r="N13" s="22">
        <v>18.18</v>
      </c>
      <c r="O13" s="20">
        <v>1309</v>
      </c>
      <c r="P13" s="20"/>
      <c r="R13" s="14">
        <v>4</v>
      </c>
      <c r="S13" s="20">
        <v>45.46</v>
      </c>
      <c r="T13" s="20">
        <v>1263</v>
      </c>
      <c r="U13" s="20"/>
      <c r="W13" s="7">
        <v>1</v>
      </c>
      <c r="X13" s="20">
        <v>274</v>
      </c>
      <c r="Y13" s="20">
        <v>1245</v>
      </c>
      <c r="Z13" s="20"/>
      <c r="AB13" s="20" t="s">
        <v>25</v>
      </c>
      <c r="AC13" s="20" t="s">
        <v>25</v>
      </c>
      <c r="AD13" s="22">
        <v>1245</v>
      </c>
      <c r="AE13" s="22"/>
      <c r="AG13" s="12">
        <v>7.3</v>
      </c>
      <c r="AH13" s="22">
        <v>113.65</v>
      </c>
      <c r="AI13" s="22">
        <v>1131.954</v>
      </c>
      <c r="AJ13" s="22"/>
      <c r="AL13" s="12"/>
      <c r="AM13" s="22"/>
      <c r="AN13" s="22"/>
    </row>
    <row r="14" spans="1:40" s="42" customFormat="1" ht="13.8" x14ac:dyDescent="0.25">
      <c r="A14" s="37">
        <v>9</v>
      </c>
      <c r="B14" s="38" t="s">
        <v>28</v>
      </c>
      <c r="C14" s="38"/>
      <c r="D14" s="46" t="s">
        <v>18</v>
      </c>
      <c r="E14" s="46" t="s">
        <v>19</v>
      </c>
      <c r="F14" s="39">
        <v>410</v>
      </c>
      <c r="G14" s="39">
        <f>13*4.546</f>
        <v>59.098000000000006</v>
      </c>
      <c r="H14" s="40">
        <f>1+(34/60)</f>
        <v>1.5666666666666667</v>
      </c>
      <c r="I14" s="41">
        <v>59</v>
      </c>
      <c r="J14" s="41">
        <v>1180</v>
      </c>
      <c r="K14" s="41"/>
      <c r="M14" s="14">
        <f>1+(33/60)</f>
        <v>1.55</v>
      </c>
      <c r="N14" s="41">
        <v>81</v>
      </c>
      <c r="O14" s="43">
        <v>1416</v>
      </c>
      <c r="P14" s="43"/>
      <c r="R14" s="14">
        <v>0</v>
      </c>
      <c r="S14" s="43">
        <v>0</v>
      </c>
      <c r="T14" s="43">
        <v>1416</v>
      </c>
      <c r="U14" s="43"/>
      <c r="W14" s="42">
        <f>1+(56/60)</f>
        <v>1.9333333333333333</v>
      </c>
      <c r="X14" s="43">
        <v>45</v>
      </c>
      <c r="Y14" s="43">
        <v>1407</v>
      </c>
      <c r="Z14" s="43"/>
      <c r="AB14" s="40">
        <v>0</v>
      </c>
      <c r="AC14" s="41">
        <v>0</v>
      </c>
      <c r="AD14" s="41">
        <v>1407</v>
      </c>
      <c r="AE14" s="41"/>
      <c r="AG14" s="40">
        <f>7+(35/60)</f>
        <v>7.583333333333333</v>
      </c>
      <c r="AH14" s="41">
        <v>181</v>
      </c>
      <c r="AI14" s="41">
        <v>1225</v>
      </c>
      <c r="AJ14" s="41"/>
      <c r="AL14" s="40"/>
      <c r="AM14" s="41"/>
      <c r="AN14" s="41"/>
    </row>
    <row r="15" spans="1:40" s="7" customFormat="1" ht="13.8" x14ac:dyDescent="0.25">
      <c r="A15" s="4">
        <v>10</v>
      </c>
      <c r="B15" s="11" t="s">
        <v>29</v>
      </c>
      <c r="C15" s="11"/>
      <c r="D15" s="45" t="s">
        <v>18</v>
      </c>
      <c r="E15" s="45" t="s">
        <v>19</v>
      </c>
      <c r="F15" s="5">
        <v>250</v>
      </c>
      <c r="G15" s="5">
        <v>45</v>
      </c>
      <c r="H15" s="12">
        <v>1</v>
      </c>
      <c r="I15" s="22">
        <v>20</v>
      </c>
      <c r="J15" s="22">
        <v>2310</v>
      </c>
      <c r="K15" s="22"/>
      <c r="M15" s="14">
        <v>2</v>
      </c>
      <c r="N15" s="22">
        <v>30</v>
      </c>
      <c r="O15" s="20">
        <v>2280</v>
      </c>
      <c r="P15" s="20"/>
      <c r="R15" s="14">
        <v>0</v>
      </c>
      <c r="S15" s="20">
        <v>0</v>
      </c>
      <c r="T15" s="20">
        <v>2280</v>
      </c>
      <c r="U15" s="20"/>
      <c r="W15" s="14">
        <v>0</v>
      </c>
      <c r="X15" s="20">
        <v>0</v>
      </c>
      <c r="Y15" s="20">
        <v>2280</v>
      </c>
      <c r="Z15" s="20"/>
      <c r="AB15" s="12">
        <v>0</v>
      </c>
      <c r="AC15" s="22">
        <v>0</v>
      </c>
      <c r="AD15" s="22">
        <v>2500</v>
      </c>
      <c r="AE15" s="22"/>
      <c r="AG15" s="12">
        <v>8.4499999999999993</v>
      </c>
      <c r="AH15" s="22">
        <v>180</v>
      </c>
      <c r="AI15" s="22">
        <v>2326</v>
      </c>
      <c r="AJ15" s="22"/>
      <c r="AL15" s="12"/>
      <c r="AM15" s="22"/>
      <c r="AN15" s="22"/>
    </row>
    <row r="16" spans="1:40" s="7" customFormat="1" ht="13.8" x14ac:dyDescent="0.25">
      <c r="A16" s="4">
        <v>11</v>
      </c>
      <c r="B16" s="11" t="s">
        <v>30</v>
      </c>
      <c r="C16" s="11"/>
      <c r="D16" s="45"/>
      <c r="E16" s="45"/>
      <c r="F16" s="5">
        <v>410</v>
      </c>
      <c r="G16" s="5">
        <f>13*4.546</f>
        <v>59.098000000000006</v>
      </c>
      <c r="H16" s="12">
        <v>4</v>
      </c>
      <c r="I16" s="22">
        <f>25*4.546</f>
        <v>113.65</v>
      </c>
      <c r="J16" s="22">
        <v>1097</v>
      </c>
      <c r="K16" s="22"/>
      <c r="M16" s="14">
        <v>4.1500000000000004</v>
      </c>
      <c r="N16" s="22">
        <f>30*4.546</f>
        <v>136.38</v>
      </c>
      <c r="O16" s="20">
        <v>984</v>
      </c>
      <c r="P16" s="20"/>
      <c r="R16" s="14">
        <v>1.33</v>
      </c>
      <c r="S16" s="20">
        <v>42</v>
      </c>
      <c r="T16" s="20">
        <v>946</v>
      </c>
      <c r="U16" s="20"/>
      <c r="W16" s="7">
        <v>8.75</v>
      </c>
      <c r="X16" s="20">
        <v>227</v>
      </c>
      <c r="Y16" s="20">
        <v>719</v>
      </c>
      <c r="Z16" s="20"/>
      <c r="AB16" s="12">
        <v>5.5</v>
      </c>
      <c r="AC16" s="22">
        <v>151</v>
      </c>
      <c r="AD16" s="22">
        <v>568</v>
      </c>
      <c r="AE16" s="22"/>
      <c r="AG16" s="12">
        <v>8.17</v>
      </c>
      <c r="AH16" s="22">
        <v>227</v>
      </c>
      <c r="AI16" s="22">
        <v>341</v>
      </c>
      <c r="AJ16" s="22"/>
      <c r="AL16" s="12"/>
      <c r="AM16" s="22"/>
      <c r="AN16" s="22"/>
    </row>
    <row r="17" spans="1:40" s="7" customFormat="1" ht="13.8" x14ac:dyDescent="0.25">
      <c r="A17" s="4">
        <v>12</v>
      </c>
      <c r="B17" s="11" t="s">
        <v>31</v>
      </c>
      <c r="C17" s="11"/>
      <c r="D17" s="45" t="s">
        <v>18</v>
      </c>
      <c r="E17" s="45" t="s">
        <v>19</v>
      </c>
      <c r="F17" s="5">
        <v>350</v>
      </c>
      <c r="G17" s="5">
        <v>54</v>
      </c>
      <c r="H17" s="12">
        <v>3</v>
      </c>
      <c r="I17" s="22">
        <v>160.6</v>
      </c>
      <c r="J17" s="22">
        <v>2243</v>
      </c>
      <c r="K17" s="22"/>
      <c r="M17" s="14">
        <v>2.92</v>
      </c>
      <c r="N17" s="22">
        <v>156.30000000000001</v>
      </c>
      <c r="O17" s="20">
        <v>2087</v>
      </c>
      <c r="P17" s="20"/>
      <c r="R17" s="14">
        <v>0.67</v>
      </c>
      <c r="S17" s="20">
        <v>40</v>
      </c>
      <c r="T17" s="20">
        <v>2274</v>
      </c>
      <c r="U17" s="20"/>
      <c r="W17" s="7">
        <v>7.08</v>
      </c>
      <c r="X17" s="20">
        <v>354</v>
      </c>
      <c r="Y17" s="20">
        <v>1919</v>
      </c>
      <c r="Z17" s="20"/>
      <c r="AB17" s="12">
        <v>0.5</v>
      </c>
      <c r="AC17" s="22">
        <v>25</v>
      </c>
      <c r="AD17" s="22">
        <v>2121</v>
      </c>
      <c r="AE17" s="22"/>
      <c r="AG17" s="12">
        <v>6.75</v>
      </c>
      <c r="AH17" s="22">
        <v>337</v>
      </c>
      <c r="AI17" s="22">
        <v>1784</v>
      </c>
      <c r="AJ17" s="22"/>
      <c r="AL17" s="12"/>
      <c r="AM17" s="22"/>
      <c r="AN17" s="22"/>
    </row>
    <row r="18" spans="1:40" s="7" customFormat="1" ht="13.8" x14ac:dyDescent="0.25">
      <c r="A18" s="4">
        <v>13</v>
      </c>
      <c r="B18" s="13" t="s">
        <v>32</v>
      </c>
      <c r="C18" s="13" t="s">
        <v>33</v>
      </c>
      <c r="D18" s="45" t="s">
        <v>18</v>
      </c>
      <c r="E18" s="45" t="s">
        <v>19</v>
      </c>
      <c r="F18" s="5">
        <v>150</v>
      </c>
      <c r="G18" s="5">
        <v>32</v>
      </c>
      <c r="H18" s="14">
        <v>0.15</v>
      </c>
      <c r="I18" s="23">
        <v>0.5</v>
      </c>
      <c r="J18" s="23">
        <v>677</v>
      </c>
      <c r="K18" s="23"/>
      <c r="M18" s="14">
        <v>0.15</v>
      </c>
      <c r="N18" s="25">
        <v>0.5</v>
      </c>
      <c r="O18" s="20">
        <v>677</v>
      </c>
      <c r="P18" s="20"/>
      <c r="R18" s="14">
        <v>0.15</v>
      </c>
      <c r="S18" s="20">
        <v>0.5</v>
      </c>
      <c r="T18" s="20">
        <v>677</v>
      </c>
      <c r="U18" s="20"/>
      <c r="W18" s="7">
        <v>0.15</v>
      </c>
      <c r="X18" s="20">
        <v>1</v>
      </c>
      <c r="Y18" s="20">
        <v>677</v>
      </c>
      <c r="Z18" s="20"/>
      <c r="AB18" s="14">
        <v>1.08</v>
      </c>
      <c r="AC18" s="23">
        <v>20</v>
      </c>
      <c r="AD18" s="23">
        <v>677</v>
      </c>
      <c r="AE18" s="23"/>
      <c r="AG18" s="14">
        <v>1.01</v>
      </c>
      <c r="AH18" s="23">
        <v>16</v>
      </c>
      <c r="AI18" s="23">
        <v>654</v>
      </c>
      <c r="AJ18" s="23"/>
      <c r="AL18" s="14"/>
      <c r="AM18" s="23"/>
      <c r="AN18" s="23"/>
    </row>
    <row r="19" spans="1:40" s="7" customFormat="1" ht="13.8" x14ac:dyDescent="0.25">
      <c r="A19" s="4">
        <v>14</v>
      </c>
      <c r="B19" s="11" t="s">
        <v>34</v>
      </c>
      <c r="C19" s="11"/>
      <c r="D19" s="45" t="s">
        <v>18</v>
      </c>
      <c r="E19" s="45" t="s">
        <v>19</v>
      </c>
      <c r="F19" s="5">
        <v>60</v>
      </c>
      <c r="G19" s="5">
        <f>4*4.546</f>
        <v>18.184000000000001</v>
      </c>
      <c r="H19" s="14">
        <v>2</v>
      </c>
      <c r="I19" s="23">
        <v>30</v>
      </c>
      <c r="J19" s="23">
        <v>1369</v>
      </c>
      <c r="K19" s="23"/>
      <c r="M19" s="14">
        <v>0.67</v>
      </c>
      <c r="N19" s="25">
        <v>7</v>
      </c>
      <c r="O19" s="20">
        <v>1369</v>
      </c>
      <c r="P19" s="20"/>
      <c r="R19" s="14">
        <v>5.5</v>
      </c>
      <c r="S19" s="20">
        <v>56</v>
      </c>
      <c r="T19" s="20">
        <v>1260</v>
      </c>
      <c r="U19" s="20"/>
      <c r="W19" s="7">
        <v>11</v>
      </c>
      <c r="X19" s="20">
        <v>122</v>
      </c>
      <c r="Y19" s="20">
        <v>1482</v>
      </c>
      <c r="Z19" s="20"/>
      <c r="AB19" s="14">
        <v>8.33</v>
      </c>
      <c r="AC19" s="23">
        <v>53.6</v>
      </c>
      <c r="AD19" s="23">
        <v>1419</v>
      </c>
      <c r="AE19" s="23"/>
      <c r="AG19" s="14">
        <v>8.17</v>
      </c>
      <c r="AH19" s="23">
        <v>76.5</v>
      </c>
      <c r="AI19" s="23">
        <v>1362</v>
      </c>
      <c r="AJ19" s="23"/>
      <c r="AL19" s="14"/>
      <c r="AM19" s="23"/>
      <c r="AN19" s="23"/>
    </row>
    <row r="20" spans="1:40" s="7" customFormat="1" ht="17.25" customHeight="1" x14ac:dyDescent="0.25">
      <c r="A20" s="4">
        <v>15</v>
      </c>
      <c r="B20" s="11" t="s">
        <v>35</v>
      </c>
      <c r="C20" s="11"/>
      <c r="D20" s="45" t="s">
        <v>18</v>
      </c>
      <c r="E20" s="45" t="s">
        <v>19</v>
      </c>
      <c r="F20" s="5">
        <v>60</v>
      </c>
      <c r="G20" s="5">
        <f>4*4.546</f>
        <v>18.184000000000001</v>
      </c>
      <c r="H20" s="14">
        <v>7</v>
      </c>
      <c r="I20" s="23">
        <v>36</v>
      </c>
      <c r="J20" s="23">
        <v>1260</v>
      </c>
      <c r="K20" s="23"/>
      <c r="M20" s="14">
        <v>2</v>
      </c>
      <c r="N20" s="25">
        <v>14</v>
      </c>
      <c r="O20" s="20">
        <v>1246</v>
      </c>
      <c r="P20" s="20"/>
      <c r="R20" s="14">
        <v>5.45</v>
      </c>
      <c r="S20" s="20">
        <v>9</v>
      </c>
      <c r="T20" s="20">
        <v>1237.5</v>
      </c>
      <c r="U20" s="20"/>
      <c r="W20" s="7">
        <v>8</v>
      </c>
      <c r="X20" s="20">
        <v>67.5</v>
      </c>
      <c r="Y20" s="20">
        <v>1386</v>
      </c>
      <c r="Z20" s="20"/>
      <c r="AB20" s="14">
        <v>6</v>
      </c>
      <c r="AC20" s="23">
        <v>18</v>
      </c>
      <c r="AD20" s="23">
        <v>1368</v>
      </c>
      <c r="AE20" s="23"/>
      <c r="AG20" s="14">
        <v>10</v>
      </c>
      <c r="AH20" s="23">
        <v>67.5</v>
      </c>
      <c r="AI20" s="23">
        <v>1300.5</v>
      </c>
      <c r="AJ20" s="23"/>
      <c r="AL20" s="14"/>
      <c r="AM20" s="23"/>
      <c r="AN20" s="23"/>
    </row>
    <row r="21" spans="1:40" s="7" customFormat="1" ht="13.8" x14ac:dyDescent="0.25">
      <c r="A21" s="4">
        <v>16</v>
      </c>
      <c r="B21" s="11" t="s">
        <v>36</v>
      </c>
      <c r="C21" s="11"/>
      <c r="D21" s="45"/>
      <c r="E21" s="45"/>
      <c r="F21" s="5">
        <v>80</v>
      </c>
      <c r="G21" s="5">
        <f>5*4.546</f>
        <v>22.73</v>
      </c>
      <c r="H21" s="14">
        <v>8</v>
      </c>
      <c r="I21" s="23">
        <v>55</v>
      </c>
      <c r="J21" s="23">
        <v>949</v>
      </c>
      <c r="K21" s="23"/>
      <c r="M21" s="14">
        <v>6.3</v>
      </c>
      <c r="N21" s="25">
        <v>55</v>
      </c>
      <c r="O21" s="20">
        <v>935</v>
      </c>
      <c r="P21" s="20"/>
      <c r="R21" s="14">
        <v>5</v>
      </c>
      <c r="S21" s="20">
        <v>51</v>
      </c>
      <c r="T21" s="20">
        <v>906</v>
      </c>
      <c r="U21" s="20"/>
      <c r="W21" s="7">
        <v>7.7</v>
      </c>
      <c r="X21" s="20">
        <v>38</v>
      </c>
      <c r="Y21" s="20">
        <v>871</v>
      </c>
      <c r="Z21" s="20"/>
      <c r="AB21" s="14">
        <v>3.2</v>
      </c>
      <c r="AC21" s="23">
        <v>27</v>
      </c>
      <c r="AD21" s="23">
        <v>844</v>
      </c>
      <c r="AE21" s="23"/>
      <c r="AG21" s="14">
        <v>8</v>
      </c>
      <c r="AH21" s="23">
        <v>66</v>
      </c>
      <c r="AI21" s="23">
        <v>778</v>
      </c>
      <c r="AJ21" s="23"/>
      <c r="AL21" s="14"/>
      <c r="AM21" s="23"/>
      <c r="AN21" s="23"/>
    </row>
    <row r="22" spans="1:40" s="7" customFormat="1" ht="13.8" x14ac:dyDescent="0.25">
      <c r="A22" s="4">
        <v>17</v>
      </c>
      <c r="B22" s="11" t="s">
        <v>37</v>
      </c>
      <c r="C22" s="11"/>
      <c r="D22" s="45"/>
      <c r="E22" s="45"/>
      <c r="F22" s="5">
        <v>60</v>
      </c>
      <c r="G22" s="5">
        <f>4*4.546</f>
        <v>18.184000000000001</v>
      </c>
      <c r="H22" s="14">
        <v>4</v>
      </c>
      <c r="I22" s="23">
        <v>36</v>
      </c>
      <c r="J22" s="23">
        <v>1180</v>
      </c>
      <c r="K22" s="23"/>
      <c r="M22" s="14">
        <v>2</v>
      </c>
      <c r="N22" s="25">
        <v>45</v>
      </c>
      <c r="O22" s="20">
        <v>1135</v>
      </c>
      <c r="P22" s="20"/>
      <c r="R22" s="14">
        <v>4</v>
      </c>
      <c r="S22" s="20">
        <v>0</v>
      </c>
      <c r="T22" s="20">
        <v>1453</v>
      </c>
      <c r="U22" s="20"/>
      <c r="W22" s="7">
        <v>15</v>
      </c>
      <c r="X22" s="20">
        <v>91</v>
      </c>
      <c r="Y22" s="20">
        <v>1362</v>
      </c>
      <c r="Z22" s="20"/>
      <c r="AB22" s="14">
        <v>2</v>
      </c>
      <c r="AC22" s="23">
        <v>46</v>
      </c>
      <c r="AD22" s="23">
        <v>1316</v>
      </c>
      <c r="AE22" s="23"/>
      <c r="AG22" s="14">
        <v>16</v>
      </c>
      <c r="AH22" s="23">
        <v>90</v>
      </c>
      <c r="AI22" s="23">
        <v>1226</v>
      </c>
      <c r="AJ22" s="23"/>
      <c r="AL22" s="14"/>
      <c r="AM22" s="23"/>
      <c r="AN22" s="23"/>
    </row>
    <row r="23" spans="1:40" s="7" customFormat="1" ht="13.8" x14ac:dyDescent="0.25">
      <c r="A23" s="4">
        <v>18</v>
      </c>
      <c r="B23" s="11" t="s">
        <v>38</v>
      </c>
      <c r="C23" s="11"/>
      <c r="D23" s="45"/>
      <c r="E23" s="45"/>
      <c r="F23" s="5">
        <v>80</v>
      </c>
      <c r="G23" s="5">
        <f>5*4.546</f>
        <v>22.73</v>
      </c>
      <c r="H23" s="14">
        <v>5.3</v>
      </c>
      <c r="I23" s="23">
        <v>51</v>
      </c>
      <c r="J23" s="23">
        <v>703</v>
      </c>
      <c r="K23" s="23"/>
      <c r="M23" s="14">
        <v>6.18</v>
      </c>
      <c r="N23" s="25">
        <v>58</v>
      </c>
      <c r="O23" s="20">
        <v>625</v>
      </c>
      <c r="P23" s="20"/>
      <c r="R23" s="14">
        <v>4</v>
      </c>
      <c r="S23" s="20">
        <v>35</v>
      </c>
      <c r="T23" s="20">
        <v>590</v>
      </c>
      <c r="U23" s="20"/>
      <c r="W23" s="7">
        <v>0</v>
      </c>
      <c r="X23" s="20">
        <v>0</v>
      </c>
      <c r="Y23" s="20">
        <v>590</v>
      </c>
      <c r="Z23" s="20"/>
      <c r="AB23" s="14">
        <v>1.45</v>
      </c>
      <c r="AC23" s="23">
        <v>25</v>
      </c>
      <c r="AD23" s="23">
        <v>813</v>
      </c>
      <c r="AE23" s="23"/>
      <c r="AG23" s="14">
        <v>1</v>
      </c>
      <c r="AH23" s="23">
        <v>34</v>
      </c>
      <c r="AI23" s="23">
        <v>789</v>
      </c>
      <c r="AJ23" s="23"/>
      <c r="AL23" s="14"/>
      <c r="AM23" s="23"/>
      <c r="AN23" s="23"/>
    </row>
    <row r="24" spans="1:40" s="7" customFormat="1" ht="13.8" x14ac:dyDescent="0.25">
      <c r="A24" s="4">
        <v>19</v>
      </c>
      <c r="B24" s="11" t="s">
        <v>39</v>
      </c>
      <c r="C24" s="11"/>
      <c r="D24" s="45"/>
      <c r="E24" s="45"/>
      <c r="F24" s="5">
        <v>100</v>
      </c>
      <c r="G24" s="5">
        <f>5*4.546</f>
        <v>22.73</v>
      </c>
      <c r="H24" s="14">
        <v>3</v>
      </c>
      <c r="I24" s="23">
        <v>116</v>
      </c>
      <c r="J24" s="23">
        <v>1357</v>
      </c>
      <c r="K24" s="23"/>
      <c r="M24" s="14">
        <v>3</v>
      </c>
      <c r="N24" s="25">
        <v>25</v>
      </c>
      <c r="O24" s="20">
        <v>1332</v>
      </c>
      <c r="P24" s="20"/>
      <c r="R24" s="14">
        <v>8</v>
      </c>
      <c r="S24" s="20">
        <v>64</v>
      </c>
      <c r="T24" s="20">
        <v>1268</v>
      </c>
      <c r="U24" s="20"/>
      <c r="W24" s="7">
        <v>9</v>
      </c>
      <c r="X24" s="20">
        <v>89</v>
      </c>
      <c r="Y24" s="20">
        <v>1179</v>
      </c>
      <c r="Z24" s="20"/>
      <c r="AB24" s="14">
        <v>9.5</v>
      </c>
      <c r="AC24" s="23">
        <v>80</v>
      </c>
      <c r="AD24" s="23">
        <v>1099</v>
      </c>
      <c r="AE24" s="23"/>
      <c r="AG24" s="14">
        <v>8</v>
      </c>
      <c r="AH24" s="23">
        <v>80</v>
      </c>
      <c r="AI24" s="23">
        <v>1019</v>
      </c>
      <c r="AJ24" s="23"/>
      <c r="AL24" s="14"/>
      <c r="AM24" s="23"/>
      <c r="AN24" s="23"/>
    </row>
    <row r="25" spans="1:40" s="7" customFormat="1" ht="13.8" x14ac:dyDescent="0.25">
      <c r="A25" s="4">
        <v>20</v>
      </c>
      <c r="B25" s="11" t="s">
        <v>40</v>
      </c>
      <c r="C25" s="11"/>
      <c r="D25" s="45"/>
      <c r="E25" s="45"/>
      <c r="F25" s="5">
        <v>150</v>
      </c>
      <c r="G25" s="5">
        <v>32</v>
      </c>
      <c r="H25" s="14">
        <v>3</v>
      </c>
      <c r="I25" s="23">
        <v>50</v>
      </c>
      <c r="J25" s="23"/>
      <c r="K25" s="23"/>
      <c r="M25" s="14">
        <v>3</v>
      </c>
      <c r="N25" s="25">
        <v>30</v>
      </c>
      <c r="O25" s="20">
        <v>1090</v>
      </c>
      <c r="P25" s="20"/>
      <c r="R25" s="14">
        <v>8</v>
      </c>
      <c r="S25" s="20">
        <v>80</v>
      </c>
      <c r="T25" s="20">
        <v>1010</v>
      </c>
      <c r="U25" s="20"/>
      <c r="W25" s="7">
        <v>14.3</v>
      </c>
      <c r="X25" s="20">
        <v>118</v>
      </c>
      <c r="Y25" s="20">
        <v>892</v>
      </c>
      <c r="Z25" s="20"/>
      <c r="AB25" s="14">
        <v>6</v>
      </c>
      <c r="AC25" s="23">
        <v>63</v>
      </c>
      <c r="AD25" s="23">
        <v>1047</v>
      </c>
      <c r="AE25" s="23"/>
      <c r="AG25" s="14">
        <v>17</v>
      </c>
      <c r="AH25" s="23">
        <v>138</v>
      </c>
      <c r="AI25" s="23">
        <v>909</v>
      </c>
      <c r="AJ25" s="23"/>
      <c r="AL25" s="14"/>
      <c r="AM25" s="23"/>
      <c r="AN25" s="23"/>
    </row>
    <row r="26" spans="1:40" s="7" customFormat="1" ht="13.8" x14ac:dyDescent="0.25">
      <c r="A26" s="4">
        <v>21</v>
      </c>
      <c r="B26" s="11" t="s">
        <v>41</v>
      </c>
      <c r="C26" s="11"/>
      <c r="D26" s="45" t="s">
        <v>18</v>
      </c>
      <c r="E26" s="45" t="s">
        <v>19</v>
      </c>
      <c r="F26" s="5">
        <v>100</v>
      </c>
      <c r="G26" s="5">
        <v>22</v>
      </c>
      <c r="H26" s="14">
        <v>0</v>
      </c>
      <c r="I26" s="23">
        <v>0</v>
      </c>
      <c r="J26" s="23">
        <v>1278</v>
      </c>
      <c r="K26" s="23"/>
      <c r="M26" s="14">
        <v>1.2</v>
      </c>
      <c r="N26" s="25">
        <v>15</v>
      </c>
      <c r="O26" s="20">
        <v>1263</v>
      </c>
      <c r="P26" s="20"/>
      <c r="R26" s="14">
        <v>0</v>
      </c>
      <c r="S26" s="20">
        <v>0</v>
      </c>
      <c r="T26" s="20">
        <v>1263</v>
      </c>
      <c r="U26" s="20"/>
      <c r="W26" s="7">
        <v>2</v>
      </c>
      <c r="X26" s="20">
        <v>18</v>
      </c>
      <c r="Y26" s="20">
        <v>1245</v>
      </c>
      <c r="Z26" s="20"/>
      <c r="AB26" s="14">
        <v>0</v>
      </c>
      <c r="AC26" s="23">
        <v>0</v>
      </c>
      <c r="AD26" s="23">
        <v>1245</v>
      </c>
      <c r="AE26" s="23"/>
      <c r="AG26" s="14">
        <v>9.1300000000000008</v>
      </c>
      <c r="AH26" s="23">
        <v>76</v>
      </c>
      <c r="AI26" s="23">
        <v>1169</v>
      </c>
      <c r="AJ26" s="23"/>
      <c r="AL26" s="14"/>
      <c r="AM26" s="23"/>
      <c r="AN26" s="23"/>
    </row>
    <row r="27" spans="1:40" s="7" customFormat="1" ht="13.8" x14ac:dyDescent="0.3">
      <c r="A27" s="4">
        <v>22</v>
      </c>
      <c r="B27" s="11" t="s">
        <v>42</v>
      </c>
      <c r="C27" s="11"/>
      <c r="D27" s="47"/>
      <c r="E27" s="47"/>
      <c r="F27" s="5">
        <v>100</v>
      </c>
      <c r="G27" s="5">
        <v>22</v>
      </c>
      <c r="H27" s="14">
        <v>13.23</v>
      </c>
      <c r="I27" s="23">
        <v>242</v>
      </c>
      <c r="J27" s="23">
        <v>197</v>
      </c>
      <c r="K27" s="23"/>
      <c r="M27" s="14">
        <v>5</v>
      </c>
      <c r="N27" s="25">
        <v>60</v>
      </c>
      <c r="O27" s="20">
        <v>117</v>
      </c>
      <c r="P27" s="20"/>
      <c r="R27" s="14">
        <v>5</v>
      </c>
      <c r="S27" s="20">
        <v>88</v>
      </c>
      <c r="T27" s="20">
        <v>147</v>
      </c>
      <c r="U27" s="20"/>
      <c r="W27" s="7">
        <v>11</v>
      </c>
      <c r="X27" s="20">
        <v>144</v>
      </c>
      <c r="Y27" s="20">
        <v>247</v>
      </c>
      <c r="Z27" s="20"/>
      <c r="AB27" s="14">
        <v>8</v>
      </c>
      <c r="AC27" s="23">
        <v>100</v>
      </c>
      <c r="AD27" s="23">
        <v>221</v>
      </c>
      <c r="AE27" s="23"/>
      <c r="AG27" s="14">
        <v>8</v>
      </c>
      <c r="AH27" s="23">
        <v>65</v>
      </c>
      <c r="AI27" s="23">
        <v>113</v>
      </c>
      <c r="AJ27" s="23"/>
      <c r="AL27" s="14"/>
      <c r="AM27" s="23"/>
      <c r="AN27" s="23"/>
    </row>
    <row r="28" spans="1:40" s="7" customFormat="1" ht="13.8" x14ac:dyDescent="0.3">
      <c r="A28" s="4"/>
      <c r="B28" s="11"/>
      <c r="C28" s="11"/>
      <c r="D28" s="47"/>
      <c r="E28" s="47"/>
      <c r="F28" s="5"/>
      <c r="G28" s="5"/>
      <c r="H28" s="14"/>
      <c r="I28" s="23"/>
      <c r="J28" s="23"/>
      <c r="K28" s="23"/>
      <c r="M28" s="15"/>
      <c r="N28" s="25"/>
      <c r="O28" s="20"/>
      <c r="P28" s="20"/>
      <c r="S28" s="20"/>
      <c r="T28" s="20"/>
      <c r="U28" s="20"/>
      <c r="X28" s="20"/>
      <c r="Y28" s="20"/>
      <c r="Z28" s="20"/>
      <c r="AB28" s="14"/>
      <c r="AC28" s="23"/>
      <c r="AD28" s="23"/>
      <c r="AE28" s="23"/>
      <c r="AG28" s="14"/>
      <c r="AH28" s="23"/>
      <c r="AI28" s="23"/>
      <c r="AJ28" s="23"/>
      <c r="AL28" s="14"/>
      <c r="AM28" s="23"/>
      <c r="AN28" s="23"/>
    </row>
    <row r="29" spans="1:40" s="7" customFormat="1" ht="13.8" x14ac:dyDescent="0.3">
      <c r="A29" s="4"/>
      <c r="B29" s="11"/>
      <c r="C29" s="11"/>
      <c r="D29" s="47"/>
      <c r="E29" s="47"/>
      <c r="F29" s="5"/>
      <c r="G29" s="5"/>
      <c r="H29" s="10">
        <f>SUM(H6:H27)</f>
        <v>70.816666666666663</v>
      </c>
      <c r="I29" s="24">
        <f t="shared" ref="I29" si="0">SUM(I6:I27)</f>
        <v>1448.9459999999999</v>
      </c>
      <c r="J29" s="24">
        <f>SUM(J6:J27)</f>
        <v>26126.04</v>
      </c>
      <c r="K29" s="24"/>
      <c r="L29" s="10"/>
      <c r="M29" s="10">
        <f>SUM(M6:M27)</f>
        <v>59.290000000000006</v>
      </c>
      <c r="N29" s="24">
        <f t="shared" ref="N29" si="1">SUM(N6:N27)</f>
        <v>1293.1320000000001</v>
      </c>
      <c r="O29" s="24">
        <f>SUM(O6:O27)</f>
        <v>28105.239999999998</v>
      </c>
      <c r="P29" s="24"/>
      <c r="Q29" s="10"/>
      <c r="R29" s="10">
        <f>SUM(R6:R27)</f>
        <v>68.069999999999993</v>
      </c>
      <c r="S29" s="24">
        <f>SUM(S6:S27)</f>
        <v>911.33999999999992</v>
      </c>
      <c r="T29" s="24">
        <f>SUM(T6:T27)</f>
        <v>28992.52</v>
      </c>
      <c r="U29" s="24"/>
      <c r="V29" s="10"/>
      <c r="W29" s="10">
        <f>SUM(W6:W27)</f>
        <v>126.04333333333332</v>
      </c>
      <c r="X29" s="24">
        <f>SUM(X6:X27)</f>
        <v>2478.4499999999998</v>
      </c>
      <c r="Y29" s="24">
        <f>SUM(Y6:Y27)</f>
        <v>27677.61</v>
      </c>
      <c r="Z29" s="24"/>
      <c r="AA29" s="10"/>
      <c r="AB29" s="10">
        <f>SUM(AB6:AB27)</f>
        <v>72.710000000000008</v>
      </c>
      <c r="AC29" s="24">
        <f t="shared" ref="AC29" si="2">SUM(AC6:AC27)</f>
        <v>1112.98</v>
      </c>
      <c r="AD29" s="24">
        <f>SUM(AD6:AD27)</f>
        <v>28365.309999999998</v>
      </c>
      <c r="AE29" s="24"/>
      <c r="AG29" s="10">
        <f>SUM(AG6:AG27)</f>
        <v>144.98333333333332</v>
      </c>
      <c r="AH29" s="24">
        <f t="shared" ref="AH29" si="3">SUM(AH6:AH27)</f>
        <v>2329.13</v>
      </c>
      <c r="AI29" s="24">
        <f>SUM(AI6:AI27)</f>
        <v>19278.362000000001</v>
      </c>
      <c r="AJ29" s="24"/>
      <c r="AL29" s="10">
        <f>SUM(AL6:AL27)</f>
        <v>0</v>
      </c>
      <c r="AM29" s="24">
        <f t="shared" ref="AM29" si="4">SUM(AM6:AM27)</f>
        <v>0</v>
      </c>
      <c r="AN29" s="24">
        <f>SUM(AN6:AN27)</f>
        <v>0</v>
      </c>
    </row>
    <row r="30" spans="1:40" s="7" customFormat="1" ht="13.8" x14ac:dyDescent="0.3">
      <c r="A30" s="30"/>
      <c r="D30" s="48"/>
      <c r="E30" s="48"/>
      <c r="F30" s="20"/>
      <c r="G30" s="20"/>
      <c r="I30" s="20"/>
      <c r="J30" s="20"/>
      <c r="K30" s="20"/>
      <c r="N30" s="20"/>
      <c r="O30" s="20"/>
      <c r="P30" s="20"/>
      <c r="S30" s="20"/>
      <c r="T30" s="20"/>
      <c r="U30" s="20"/>
      <c r="X30" s="20"/>
      <c r="Y30" s="20"/>
      <c r="Z30" s="20"/>
      <c r="AC30" s="20"/>
      <c r="AD30" s="20"/>
      <c r="AE30" s="20"/>
      <c r="AH30" s="20"/>
      <c r="AI30" s="20"/>
      <c r="AJ30" s="20"/>
      <c r="AM30" s="20"/>
      <c r="AN30" s="20"/>
    </row>
    <row r="31" spans="1:40" s="7" customFormat="1" ht="13.8" x14ac:dyDescent="0.3">
      <c r="A31" s="4">
        <v>23</v>
      </c>
      <c r="B31" s="11" t="s">
        <v>43</v>
      </c>
      <c r="C31" s="11" t="s">
        <v>44</v>
      </c>
      <c r="D31" s="47"/>
      <c r="E31" s="47"/>
      <c r="F31" s="5">
        <v>350</v>
      </c>
      <c r="G31" s="5">
        <f>12*4.5</f>
        <v>54</v>
      </c>
      <c r="H31" s="14">
        <v>1</v>
      </c>
      <c r="I31" s="25">
        <v>25</v>
      </c>
      <c r="J31" s="25">
        <v>1000</v>
      </c>
      <c r="K31" s="25"/>
      <c r="L31" s="16"/>
      <c r="M31" s="14">
        <v>5.6</v>
      </c>
      <c r="N31" s="25">
        <v>127</v>
      </c>
      <c r="O31" s="20">
        <v>1000</v>
      </c>
      <c r="P31" s="20"/>
      <c r="R31" s="14"/>
      <c r="S31" s="20"/>
      <c r="T31" s="20"/>
      <c r="U31" s="20"/>
      <c r="X31" s="20"/>
      <c r="Y31" s="20"/>
      <c r="Z31" s="20"/>
      <c r="AB31" s="14"/>
      <c r="AC31" s="25"/>
      <c r="AD31" s="25"/>
      <c r="AE31" s="25"/>
      <c r="AG31" s="14"/>
      <c r="AH31" s="25"/>
      <c r="AI31" s="25"/>
      <c r="AJ31" s="25"/>
      <c r="AL31" s="14"/>
      <c r="AM31" s="25"/>
      <c r="AN31" s="25"/>
    </row>
    <row r="32" spans="1:40" s="7" customFormat="1" ht="13.8" x14ac:dyDescent="0.3">
      <c r="A32" s="4">
        <v>24</v>
      </c>
      <c r="B32" s="11" t="s">
        <v>43</v>
      </c>
      <c r="C32" s="11"/>
      <c r="D32" s="47"/>
      <c r="E32" s="47"/>
      <c r="F32" s="5">
        <v>165</v>
      </c>
      <c r="G32" s="5">
        <f>7*4.5</f>
        <v>31.5</v>
      </c>
      <c r="H32" s="14">
        <v>0</v>
      </c>
      <c r="I32" s="25">
        <v>0</v>
      </c>
      <c r="J32" s="25"/>
      <c r="K32" s="25"/>
      <c r="L32" s="16"/>
      <c r="M32" s="14"/>
      <c r="N32" s="25"/>
      <c r="O32" s="20"/>
      <c r="P32" s="20"/>
      <c r="R32" s="14"/>
      <c r="S32" s="20"/>
      <c r="T32" s="20"/>
      <c r="U32" s="20"/>
      <c r="X32" s="20"/>
      <c r="Y32" s="20"/>
      <c r="Z32" s="20"/>
      <c r="AB32" s="14"/>
      <c r="AC32" s="25"/>
      <c r="AD32" s="25"/>
      <c r="AE32" s="25"/>
      <c r="AG32" s="14"/>
      <c r="AH32" s="25"/>
      <c r="AI32" s="25"/>
      <c r="AJ32" s="25"/>
      <c r="AL32" s="14"/>
      <c r="AM32" s="25"/>
      <c r="AN32" s="25"/>
    </row>
    <row r="33" spans="1:40" s="7" customFormat="1" ht="13.8" x14ac:dyDescent="0.25">
      <c r="A33" s="4">
        <v>25</v>
      </c>
      <c r="B33" s="11" t="s">
        <v>45</v>
      </c>
      <c r="C33" s="11" t="s">
        <v>44</v>
      </c>
      <c r="D33" s="45" t="s">
        <v>18</v>
      </c>
      <c r="E33" s="45" t="s">
        <v>19</v>
      </c>
      <c r="F33" s="5">
        <v>550</v>
      </c>
      <c r="G33" s="5">
        <f>16*4.5</f>
        <v>72</v>
      </c>
      <c r="H33" s="14">
        <v>0.25</v>
      </c>
      <c r="I33" s="25">
        <v>9</v>
      </c>
      <c r="J33" s="25">
        <v>3409</v>
      </c>
      <c r="K33" s="25"/>
      <c r="L33" s="16"/>
      <c r="M33" s="14">
        <v>5.28</v>
      </c>
      <c r="N33" s="25">
        <v>192</v>
      </c>
      <c r="O33" s="20">
        <v>3409</v>
      </c>
      <c r="P33" s="20"/>
      <c r="R33" s="14">
        <v>4</v>
      </c>
      <c r="S33" s="20">
        <v>145</v>
      </c>
      <c r="T33" s="20">
        <v>3182</v>
      </c>
      <c r="U33" s="20"/>
      <c r="W33" s="7">
        <v>9.16</v>
      </c>
      <c r="X33" s="20">
        <v>297</v>
      </c>
      <c r="Y33" s="20">
        <v>3273</v>
      </c>
      <c r="Z33" s="20"/>
      <c r="AB33" s="14">
        <v>7.6</v>
      </c>
      <c r="AC33" s="25">
        <v>278</v>
      </c>
      <c r="AD33" s="25">
        <v>2864</v>
      </c>
      <c r="AE33" s="25"/>
      <c r="AG33" s="14">
        <v>1.75</v>
      </c>
      <c r="AH33" s="25">
        <v>13.85</v>
      </c>
      <c r="AI33" s="25">
        <v>3773</v>
      </c>
      <c r="AJ33" s="25"/>
      <c r="AL33" s="14"/>
      <c r="AM33" s="25"/>
      <c r="AN33" s="25"/>
    </row>
    <row r="34" spans="1:40" s="7" customFormat="1" ht="13.8" x14ac:dyDescent="0.25">
      <c r="A34" s="4">
        <v>26</v>
      </c>
      <c r="B34" s="11" t="s">
        <v>45</v>
      </c>
      <c r="C34" s="11" t="s">
        <v>44</v>
      </c>
      <c r="D34" s="45" t="s">
        <v>18</v>
      </c>
      <c r="E34" s="45" t="s">
        <v>19</v>
      </c>
      <c r="F34" s="5">
        <v>220</v>
      </c>
      <c r="G34" s="5">
        <v>36</v>
      </c>
      <c r="H34" s="14">
        <v>0</v>
      </c>
      <c r="I34" s="25">
        <v>0</v>
      </c>
      <c r="J34" s="25"/>
      <c r="K34" s="25"/>
      <c r="L34" s="16"/>
      <c r="M34" s="14"/>
      <c r="N34" s="25"/>
      <c r="O34" s="20"/>
      <c r="P34" s="20"/>
      <c r="R34" s="14"/>
      <c r="S34" s="20"/>
      <c r="T34" s="20"/>
      <c r="U34" s="20"/>
      <c r="X34" s="20"/>
      <c r="Y34" s="20"/>
      <c r="Z34" s="20"/>
      <c r="AB34" s="14"/>
      <c r="AC34" s="25"/>
      <c r="AD34" s="25"/>
      <c r="AE34" s="25"/>
      <c r="AG34" s="14"/>
      <c r="AH34" s="25"/>
      <c r="AI34" s="25"/>
      <c r="AJ34" s="25"/>
      <c r="AL34" s="14"/>
      <c r="AM34" s="25"/>
      <c r="AN34" s="25"/>
    </row>
    <row r="35" spans="1:40" s="7" customFormat="1" ht="13.8" x14ac:dyDescent="0.3">
      <c r="A35" s="4">
        <v>27</v>
      </c>
      <c r="B35" s="11" t="s">
        <v>46</v>
      </c>
      <c r="C35" s="11"/>
      <c r="D35" s="47"/>
      <c r="E35" s="47"/>
      <c r="F35" s="5">
        <v>550</v>
      </c>
      <c r="G35" s="5">
        <f>16*4.5</f>
        <v>72</v>
      </c>
      <c r="H35" s="14">
        <v>0.57999999999999996</v>
      </c>
      <c r="I35" s="25">
        <v>22.73</v>
      </c>
      <c r="J35" s="25">
        <v>16209.338</v>
      </c>
      <c r="K35" s="25"/>
      <c r="L35" s="16"/>
      <c r="M35" s="14">
        <v>0</v>
      </c>
      <c r="N35" s="25">
        <v>0</v>
      </c>
      <c r="O35" s="25">
        <v>16209.338</v>
      </c>
      <c r="P35" s="25"/>
      <c r="R35" s="14">
        <v>0</v>
      </c>
      <c r="S35" s="20">
        <v>0</v>
      </c>
      <c r="T35" s="20">
        <v>16209</v>
      </c>
      <c r="U35" s="20"/>
      <c r="W35" s="7">
        <v>0</v>
      </c>
      <c r="X35" s="20">
        <v>0</v>
      </c>
      <c r="Y35" s="20">
        <v>16209</v>
      </c>
      <c r="Z35" s="20"/>
      <c r="AB35" s="14">
        <v>1</v>
      </c>
      <c r="AC35" s="25">
        <v>54.552</v>
      </c>
      <c r="AD35" s="25">
        <v>16154</v>
      </c>
      <c r="AE35" s="25"/>
      <c r="AG35" s="14">
        <v>1.37</v>
      </c>
      <c r="AH35" s="25">
        <v>58.107999999999997</v>
      </c>
      <c r="AI35" s="25">
        <v>16096.678</v>
      </c>
      <c r="AJ35" s="25"/>
      <c r="AL35" s="14"/>
      <c r="AM35" s="25"/>
      <c r="AN35" s="25"/>
    </row>
    <row r="36" spans="1:40" s="7" customFormat="1" ht="13.8" x14ac:dyDescent="0.3">
      <c r="A36" s="4">
        <v>28</v>
      </c>
      <c r="B36" s="11" t="s">
        <v>46</v>
      </c>
      <c r="C36" s="11"/>
      <c r="D36" s="47"/>
      <c r="E36" s="47"/>
      <c r="F36" s="5">
        <v>275</v>
      </c>
      <c r="G36" s="5">
        <f>10*4.5</f>
        <v>45</v>
      </c>
      <c r="H36" s="14">
        <v>0</v>
      </c>
      <c r="I36" s="25">
        <v>0</v>
      </c>
      <c r="J36" s="25"/>
      <c r="K36" s="25"/>
      <c r="L36" s="16"/>
      <c r="M36" s="14">
        <v>0</v>
      </c>
      <c r="N36" s="25">
        <v>0</v>
      </c>
      <c r="O36" s="20"/>
      <c r="P36" s="20"/>
      <c r="R36" s="14">
        <v>0</v>
      </c>
      <c r="S36" s="20">
        <v>0</v>
      </c>
      <c r="T36" s="20"/>
      <c r="U36" s="20"/>
      <c r="W36" s="7">
        <v>0</v>
      </c>
      <c r="X36" s="20">
        <v>0</v>
      </c>
      <c r="Y36" s="20"/>
      <c r="Z36" s="20"/>
      <c r="AB36" s="14">
        <v>0</v>
      </c>
      <c r="AC36" s="25">
        <v>0</v>
      </c>
      <c r="AD36" s="25"/>
      <c r="AE36" s="25"/>
      <c r="AG36" s="14">
        <v>0</v>
      </c>
      <c r="AH36" s="25">
        <v>0</v>
      </c>
      <c r="AI36" s="25"/>
      <c r="AJ36" s="25"/>
      <c r="AL36" s="14"/>
      <c r="AM36" s="25"/>
      <c r="AN36" s="25"/>
    </row>
    <row r="37" spans="1:40" s="7" customFormat="1" ht="13.8" x14ac:dyDescent="0.3">
      <c r="A37" s="4"/>
      <c r="B37" s="11"/>
      <c r="C37" s="11"/>
      <c r="D37" s="47"/>
      <c r="E37" s="47"/>
      <c r="F37" s="5"/>
      <c r="G37" s="5"/>
      <c r="H37" s="17">
        <f>SUM(H31:H36)</f>
        <v>1.83</v>
      </c>
      <c r="I37" s="26">
        <f t="shared" ref="I37" si="5">SUM(I31:I36)</f>
        <v>56.730000000000004</v>
      </c>
      <c r="J37" s="26">
        <f>SUM(J31:J36)</f>
        <v>20618.338</v>
      </c>
      <c r="K37" s="26"/>
      <c r="L37" s="17"/>
      <c r="M37" s="17">
        <f>SUM(M31:M36)</f>
        <v>10.879999999999999</v>
      </c>
      <c r="N37" s="26">
        <f t="shared" ref="N37" si="6">SUM(N31:N36)</f>
        <v>319</v>
      </c>
      <c r="O37" s="26">
        <f>SUM(O31:O36)</f>
        <v>20618.338</v>
      </c>
      <c r="P37" s="26"/>
      <c r="Q37" s="10"/>
      <c r="R37" s="17">
        <f>SUM(R31:R36)</f>
        <v>4</v>
      </c>
      <c r="S37" s="26">
        <f>SUM(S31:S36)</f>
        <v>145</v>
      </c>
      <c r="T37" s="26">
        <f>SUM(T31:T36)</f>
        <v>19391</v>
      </c>
      <c r="U37" s="26"/>
      <c r="V37" s="10"/>
      <c r="W37" s="17">
        <f>SUM(W31:W36)</f>
        <v>9.16</v>
      </c>
      <c r="X37" s="26">
        <f>SUM(X31:X36)</f>
        <v>297</v>
      </c>
      <c r="Y37" s="26">
        <f>SUM(Y31:Y36)</f>
        <v>19482</v>
      </c>
      <c r="Z37" s="26"/>
      <c r="AA37" s="10"/>
      <c r="AB37" s="17">
        <f>SUM(AB31:AB36)</f>
        <v>8.6</v>
      </c>
      <c r="AC37" s="26">
        <f t="shared" ref="AC37" si="7">SUM(AC31:AC36)</f>
        <v>332.55200000000002</v>
      </c>
      <c r="AD37" s="26">
        <f>SUM(AD31:AD36)</f>
        <v>19018</v>
      </c>
      <c r="AE37" s="26"/>
      <c r="AG37" s="17">
        <f>SUM(AG31:AG36)</f>
        <v>3.12</v>
      </c>
      <c r="AH37" s="26">
        <f t="shared" ref="AH37" si="8">SUM(AH31:AH36)</f>
        <v>71.957999999999998</v>
      </c>
      <c r="AI37" s="26">
        <f>SUM(AI31:AI36)</f>
        <v>19869.678</v>
      </c>
      <c r="AJ37" s="26"/>
      <c r="AL37" s="17">
        <f>SUM(AL31:AL36)</f>
        <v>0</v>
      </c>
      <c r="AM37" s="26">
        <f t="shared" ref="AM37" si="9">SUM(AM31:AM36)</f>
        <v>0</v>
      </c>
      <c r="AN37" s="26">
        <f>SUM(AN31:AN36)</f>
        <v>0</v>
      </c>
    </row>
    <row r="38" spans="1:40" s="7" customFormat="1" ht="13.8" x14ac:dyDescent="0.3">
      <c r="A38" s="4"/>
      <c r="B38" s="11"/>
      <c r="C38" s="11"/>
      <c r="D38" s="47"/>
      <c r="E38" s="47"/>
      <c r="F38" s="5"/>
      <c r="G38" s="5"/>
      <c r="H38" s="15"/>
      <c r="I38" s="25"/>
      <c r="J38" s="25"/>
      <c r="K38" s="25"/>
      <c r="L38" s="16"/>
      <c r="M38" s="15"/>
      <c r="N38" s="25"/>
      <c r="O38" s="20"/>
      <c r="P38" s="20"/>
      <c r="S38" s="20"/>
      <c r="T38" s="20"/>
      <c r="U38" s="20"/>
      <c r="X38" s="20"/>
      <c r="Y38" s="20"/>
      <c r="Z38" s="20"/>
      <c r="AB38" s="15"/>
      <c r="AC38" s="25"/>
      <c r="AD38" s="25"/>
      <c r="AE38" s="25"/>
      <c r="AG38" s="15"/>
      <c r="AH38" s="25"/>
      <c r="AI38" s="25"/>
      <c r="AJ38" s="25"/>
      <c r="AL38" s="15"/>
      <c r="AM38" s="25"/>
      <c r="AN38" s="25"/>
    </row>
    <row r="39" spans="1:40" s="7" customFormat="1" ht="13.8" x14ac:dyDescent="0.3">
      <c r="A39" s="4">
        <v>29</v>
      </c>
      <c r="B39" s="11" t="s">
        <v>47</v>
      </c>
      <c r="C39" s="11"/>
      <c r="D39" s="47"/>
      <c r="E39" s="47"/>
      <c r="F39" s="5">
        <v>700</v>
      </c>
      <c r="G39" s="5">
        <f>21*4.5</f>
        <v>94.5</v>
      </c>
      <c r="H39" s="15">
        <v>1.1299999999999999</v>
      </c>
      <c r="I39" s="25">
        <v>45</v>
      </c>
      <c r="J39" s="25"/>
      <c r="K39" s="25"/>
      <c r="L39" s="16"/>
      <c r="M39" s="14">
        <v>2.12</v>
      </c>
      <c r="N39" s="25">
        <f>2*45</f>
        <v>90</v>
      </c>
      <c r="O39" s="20"/>
      <c r="P39" s="20"/>
      <c r="R39" s="14"/>
      <c r="S39" s="20"/>
      <c r="T39" s="20"/>
      <c r="U39" s="20"/>
      <c r="X39" s="20"/>
      <c r="Y39" s="20"/>
      <c r="Z39" s="20"/>
      <c r="AB39" s="15"/>
      <c r="AC39" s="25"/>
      <c r="AD39" s="25"/>
      <c r="AE39" s="25"/>
      <c r="AG39" s="15"/>
      <c r="AH39" s="25"/>
      <c r="AI39" s="25"/>
      <c r="AJ39" s="25"/>
      <c r="AL39" s="15"/>
      <c r="AM39" s="25"/>
      <c r="AN39" s="25"/>
    </row>
    <row r="40" spans="1:40" s="7" customFormat="1" ht="13.8" x14ac:dyDescent="0.3">
      <c r="A40" s="4">
        <v>30</v>
      </c>
      <c r="B40" s="11" t="s">
        <v>47</v>
      </c>
      <c r="C40" s="11"/>
      <c r="D40" s="47"/>
      <c r="E40" s="47"/>
      <c r="F40" s="5">
        <v>60</v>
      </c>
      <c r="G40" s="5">
        <v>12</v>
      </c>
      <c r="H40" s="15">
        <v>0</v>
      </c>
      <c r="I40" s="25">
        <v>0</v>
      </c>
      <c r="J40" s="25"/>
      <c r="K40" s="25"/>
      <c r="L40" s="16"/>
      <c r="M40" s="14">
        <v>0</v>
      </c>
      <c r="N40" s="25">
        <v>0</v>
      </c>
      <c r="O40" s="20"/>
      <c r="P40" s="20"/>
      <c r="R40" s="14"/>
      <c r="S40" s="20"/>
      <c r="T40" s="20"/>
      <c r="U40" s="20"/>
      <c r="X40" s="20"/>
      <c r="Y40" s="20"/>
      <c r="Z40" s="20"/>
      <c r="AB40" s="15"/>
      <c r="AC40" s="25"/>
      <c r="AD40" s="25"/>
      <c r="AE40" s="25"/>
      <c r="AG40" s="15"/>
      <c r="AH40" s="25"/>
      <c r="AI40" s="25"/>
      <c r="AJ40" s="25"/>
      <c r="AL40" s="15"/>
      <c r="AM40" s="25"/>
      <c r="AN40" s="25"/>
    </row>
    <row r="41" spans="1:40" s="7" customFormat="1" ht="21" customHeight="1" x14ac:dyDescent="0.3">
      <c r="A41" s="4">
        <v>31</v>
      </c>
      <c r="B41" s="11" t="s">
        <v>48</v>
      </c>
      <c r="C41" s="11"/>
      <c r="D41" s="47"/>
      <c r="E41" s="47"/>
      <c r="F41" s="5"/>
      <c r="G41" s="5"/>
      <c r="H41" s="15">
        <v>0</v>
      </c>
      <c r="I41" s="25">
        <v>0</v>
      </c>
      <c r="J41" s="25"/>
      <c r="K41" s="25"/>
      <c r="L41" s="16"/>
      <c r="M41" s="14">
        <v>0</v>
      </c>
      <c r="N41" s="25">
        <v>0</v>
      </c>
      <c r="O41" s="20"/>
      <c r="P41" s="20"/>
      <c r="R41" s="14"/>
      <c r="S41" s="20"/>
      <c r="T41" s="20"/>
      <c r="U41" s="20"/>
      <c r="X41" s="20"/>
      <c r="Y41" s="20"/>
      <c r="Z41" s="20"/>
      <c r="AB41" s="15"/>
      <c r="AC41" s="25"/>
      <c r="AD41" s="25"/>
      <c r="AE41" s="25"/>
      <c r="AG41" s="15"/>
      <c r="AH41" s="25"/>
      <c r="AI41" s="25"/>
      <c r="AJ41" s="25"/>
      <c r="AL41" s="15"/>
      <c r="AM41" s="25"/>
      <c r="AN41" s="25"/>
    </row>
    <row r="42" spans="1:40" s="7" customFormat="1" ht="13.8" x14ac:dyDescent="0.3">
      <c r="A42" s="4"/>
      <c r="B42" s="11"/>
      <c r="C42" s="11"/>
      <c r="D42" s="47"/>
      <c r="E42" s="47"/>
      <c r="F42" s="5"/>
      <c r="G42" s="5"/>
      <c r="H42" s="17">
        <f>SUM(H39:H41)</f>
        <v>1.1299999999999999</v>
      </c>
      <c r="I42" s="26">
        <f t="shared" ref="I42" si="10">SUM(I39:I41)</f>
        <v>45</v>
      </c>
      <c r="J42" s="26">
        <f>SUM(J39:J41)</f>
        <v>0</v>
      </c>
      <c r="K42" s="26"/>
      <c r="L42" s="17"/>
      <c r="M42" s="17">
        <f>SUM(M39:M41)</f>
        <v>2.12</v>
      </c>
      <c r="N42" s="26">
        <f t="shared" ref="N42" si="11">SUM(N39:N41)</f>
        <v>90</v>
      </c>
      <c r="O42" s="26">
        <f>SUM(O39:O41)</f>
        <v>0</v>
      </c>
      <c r="P42" s="26"/>
      <c r="Q42" s="10"/>
      <c r="R42" s="17">
        <f>SUM(R39:R41)</f>
        <v>0</v>
      </c>
      <c r="S42" s="26">
        <f>SUM(S39:S41)</f>
        <v>0</v>
      </c>
      <c r="T42" s="26">
        <f>SUM(T39:T41)</f>
        <v>0</v>
      </c>
      <c r="U42" s="26"/>
      <c r="V42" s="10"/>
      <c r="W42" s="17">
        <f>SUM(W39:W41)</f>
        <v>0</v>
      </c>
      <c r="X42" s="26">
        <f>SUM(X39:X41)</f>
        <v>0</v>
      </c>
      <c r="Y42" s="26">
        <f>SUM(Y39:Y41)</f>
        <v>0</v>
      </c>
      <c r="Z42" s="26"/>
      <c r="AA42" s="10"/>
      <c r="AB42" s="17">
        <f>SUM(AB39:AB41)</f>
        <v>0</v>
      </c>
      <c r="AC42" s="26">
        <f t="shared" ref="AC42" si="12">SUM(AC39:AC41)</f>
        <v>0</v>
      </c>
      <c r="AD42" s="26">
        <f>SUM(AD39:AD41)</f>
        <v>0</v>
      </c>
      <c r="AE42" s="26"/>
      <c r="AG42" s="17">
        <f>SUM(AG39:AG41)</f>
        <v>0</v>
      </c>
      <c r="AH42" s="26">
        <f t="shared" ref="AH42" si="13">SUM(AH39:AH41)</f>
        <v>0</v>
      </c>
      <c r="AI42" s="26">
        <f>SUM(AI39:AI41)</f>
        <v>0</v>
      </c>
      <c r="AJ42" s="26"/>
      <c r="AL42" s="17">
        <f>SUM(AL39:AL41)</f>
        <v>0</v>
      </c>
      <c r="AM42" s="26">
        <f t="shared" ref="AM42" si="14">SUM(AM39:AM41)</f>
        <v>0</v>
      </c>
      <c r="AN42" s="26">
        <f>SUM(AN39:AN41)</f>
        <v>0</v>
      </c>
    </row>
    <row r="43" spans="1:40" s="7" customFormat="1" ht="13.8" x14ac:dyDescent="0.3">
      <c r="A43" s="4"/>
      <c r="B43" s="11"/>
      <c r="C43" s="11"/>
      <c r="D43" s="47"/>
      <c r="E43" s="47"/>
      <c r="F43" s="5"/>
      <c r="G43" s="5"/>
      <c r="H43" s="15"/>
      <c r="I43" s="25"/>
      <c r="J43" s="25"/>
      <c r="K43" s="25"/>
      <c r="L43" s="16"/>
      <c r="M43" s="15"/>
      <c r="N43" s="25"/>
      <c r="O43" s="20"/>
      <c r="P43" s="20"/>
      <c r="S43" s="20"/>
      <c r="T43" s="20"/>
      <c r="U43" s="20"/>
      <c r="X43" s="20"/>
      <c r="Y43" s="20"/>
      <c r="Z43" s="20"/>
      <c r="AB43" s="15"/>
      <c r="AC43" s="25"/>
      <c r="AD43" s="25"/>
      <c r="AE43" s="25"/>
      <c r="AG43" s="15"/>
      <c r="AH43" s="25"/>
      <c r="AI43" s="25"/>
      <c r="AJ43" s="25"/>
      <c r="AL43" s="15"/>
      <c r="AM43" s="25"/>
      <c r="AN43" s="25"/>
    </row>
    <row r="44" spans="1:40" s="7" customFormat="1" ht="28.5" customHeight="1" x14ac:dyDescent="0.3">
      <c r="A44" s="4">
        <v>32</v>
      </c>
      <c r="B44" s="11" t="s">
        <v>49</v>
      </c>
      <c r="C44" s="11"/>
      <c r="D44" s="48"/>
      <c r="E44" s="48"/>
      <c r="F44" s="20"/>
      <c r="G44" s="20"/>
      <c r="H44" s="15">
        <v>0</v>
      </c>
      <c r="I44" s="25">
        <v>180</v>
      </c>
      <c r="J44" s="25"/>
      <c r="K44" s="25"/>
      <c r="L44" s="16"/>
      <c r="M44" s="14">
        <v>0</v>
      </c>
      <c r="N44" s="25">
        <v>40</v>
      </c>
      <c r="O44" s="20"/>
      <c r="P44" s="20"/>
      <c r="S44" s="20"/>
      <c r="T44" s="20"/>
      <c r="U44" s="20"/>
      <c r="X44" s="20"/>
      <c r="Y44" s="20"/>
      <c r="Z44" s="20"/>
      <c r="AB44" s="15"/>
      <c r="AC44" s="25"/>
      <c r="AD44" s="25"/>
      <c r="AE44" s="25"/>
      <c r="AG44" s="15"/>
      <c r="AH44" s="25"/>
      <c r="AI44" s="25"/>
      <c r="AJ44" s="25"/>
      <c r="AL44" s="15"/>
      <c r="AM44" s="25"/>
      <c r="AN44" s="25"/>
    </row>
    <row r="45" spans="1:40" s="7" customFormat="1" ht="13.8" x14ac:dyDescent="0.3">
      <c r="A45" s="4"/>
      <c r="B45" s="11"/>
      <c r="C45" s="11"/>
      <c r="D45" s="47"/>
      <c r="E45" s="47"/>
      <c r="F45" s="5"/>
      <c r="G45" s="5"/>
      <c r="H45" s="17">
        <f>H44</f>
        <v>0</v>
      </c>
      <c r="I45" s="26">
        <f>I44</f>
        <v>180</v>
      </c>
      <c r="J45" s="26">
        <f>J44</f>
        <v>0</v>
      </c>
      <c r="K45" s="26"/>
      <c r="L45" s="17"/>
      <c r="M45" s="17">
        <f>M44</f>
        <v>0</v>
      </c>
      <c r="N45" s="26">
        <f>N44</f>
        <v>40</v>
      </c>
      <c r="O45" s="26">
        <f>O44</f>
        <v>0</v>
      </c>
      <c r="P45" s="26"/>
      <c r="Q45" s="10"/>
      <c r="R45" s="17">
        <f>R44</f>
        <v>0</v>
      </c>
      <c r="S45" s="26">
        <f>S44</f>
        <v>0</v>
      </c>
      <c r="T45" s="26">
        <f>T44</f>
        <v>0</v>
      </c>
      <c r="U45" s="26"/>
      <c r="V45" s="10"/>
      <c r="W45" s="17">
        <f>W44</f>
        <v>0</v>
      </c>
      <c r="X45" s="26">
        <f>X44</f>
        <v>0</v>
      </c>
      <c r="Y45" s="26">
        <f>Y44</f>
        <v>0</v>
      </c>
      <c r="Z45" s="26"/>
      <c r="AA45" s="10"/>
      <c r="AB45" s="17">
        <f>AB44</f>
        <v>0</v>
      </c>
      <c r="AC45" s="26">
        <f>AC44</f>
        <v>0</v>
      </c>
      <c r="AD45" s="26">
        <f>AD44</f>
        <v>0</v>
      </c>
      <c r="AE45" s="26"/>
      <c r="AG45" s="17">
        <f>AG44</f>
        <v>0</v>
      </c>
      <c r="AH45" s="26">
        <f>AH44</f>
        <v>0</v>
      </c>
      <c r="AI45" s="26">
        <f>AI44</f>
        <v>0</v>
      </c>
      <c r="AJ45" s="26"/>
      <c r="AL45" s="17">
        <f>AL44</f>
        <v>0</v>
      </c>
      <c r="AM45" s="26">
        <f>AM44</f>
        <v>0</v>
      </c>
      <c r="AN45" s="26">
        <f>AN44</f>
        <v>0</v>
      </c>
    </row>
    <row r="46" spans="1:40" s="7" customFormat="1" ht="13.8" x14ac:dyDescent="0.3">
      <c r="A46" s="4"/>
      <c r="D46" s="48"/>
      <c r="E46" s="48"/>
      <c r="F46" s="20"/>
      <c r="G46" s="20"/>
      <c r="H46" s="16"/>
      <c r="I46" s="27"/>
      <c r="J46" s="27"/>
      <c r="K46" s="27"/>
      <c r="L46" s="16"/>
      <c r="M46" s="16"/>
      <c r="N46" s="27"/>
      <c r="O46" s="20"/>
      <c r="P46" s="20"/>
      <c r="S46" s="20"/>
      <c r="T46" s="20"/>
      <c r="U46" s="20"/>
      <c r="X46" s="20"/>
      <c r="Y46" s="20"/>
      <c r="Z46" s="20"/>
      <c r="AB46" s="16"/>
      <c r="AC46" s="27"/>
      <c r="AD46" s="27"/>
      <c r="AE46" s="27"/>
      <c r="AG46" s="16"/>
      <c r="AH46" s="27"/>
      <c r="AI46" s="27"/>
      <c r="AJ46" s="27"/>
      <c r="AL46" s="16"/>
      <c r="AM46" s="27"/>
      <c r="AN46" s="27"/>
    </row>
    <row r="47" spans="1:40" s="7" customFormat="1" ht="13.8" x14ac:dyDescent="0.3">
      <c r="A47" s="4"/>
      <c r="D47" s="48"/>
      <c r="E47" s="48"/>
      <c r="F47" s="20"/>
      <c r="G47" s="20"/>
      <c r="H47" s="16"/>
      <c r="I47" s="27"/>
      <c r="J47" s="27"/>
      <c r="K47" s="27"/>
      <c r="L47" s="16"/>
      <c r="M47" s="16"/>
      <c r="N47" s="27"/>
      <c r="O47" s="20"/>
      <c r="P47" s="20"/>
      <c r="R47" s="14"/>
      <c r="S47" s="20"/>
      <c r="T47" s="20"/>
      <c r="U47" s="20"/>
      <c r="X47" s="20"/>
      <c r="Y47" s="20"/>
      <c r="Z47" s="20"/>
      <c r="AB47" s="16"/>
      <c r="AC47" s="27"/>
      <c r="AD47" s="27"/>
      <c r="AE47" s="27"/>
      <c r="AG47" s="16"/>
      <c r="AH47" s="27"/>
      <c r="AI47" s="27"/>
      <c r="AJ47" s="27"/>
      <c r="AL47" s="16"/>
      <c r="AM47" s="27"/>
      <c r="AN47" s="27"/>
    </row>
    <row r="48" spans="1:40" s="7" customFormat="1" ht="13.8" x14ac:dyDescent="0.3">
      <c r="A48" s="4">
        <v>33</v>
      </c>
      <c r="B48" s="11" t="s">
        <v>50</v>
      </c>
      <c r="C48" s="11"/>
      <c r="D48" s="47"/>
      <c r="E48" s="47"/>
      <c r="F48" s="5">
        <v>410</v>
      </c>
      <c r="G48" s="5">
        <v>59.098000000000006</v>
      </c>
      <c r="H48" s="14">
        <v>8</v>
      </c>
      <c r="I48" s="25">
        <v>227</v>
      </c>
      <c r="J48" s="25">
        <v>895</v>
      </c>
      <c r="K48" s="25"/>
      <c r="L48" s="16"/>
      <c r="M48" s="14">
        <v>8</v>
      </c>
      <c r="N48" s="25">
        <f>60*4.546</f>
        <v>272.76</v>
      </c>
      <c r="O48" s="20">
        <v>654</v>
      </c>
      <c r="P48" s="20"/>
      <c r="R48" s="14">
        <v>4</v>
      </c>
      <c r="S48" s="20">
        <v>113</v>
      </c>
      <c r="T48" s="20">
        <v>759</v>
      </c>
      <c r="U48" s="20"/>
      <c r="W48" s="7">
        <v>7.92</v>
      </c>
      <c r="X48" s="20">
        <v>272</v>
      </c>
      <c r="Y48" s="20">
        <v>486</v>
      </c>
      <c r="Z48" s="20"/>
      <c r="AB48" s="14">
        <v>7.16</v>
      </c>
      <c r="AC48" s="25">
        <v>227</v>
      </c>
      <c r="AD48" s="25">
        <v>486</v>
      </c>
      <c r="AE48" s="25"/>
      <c r="AG48" s="14">
        <v>7</v>
      </c>
      <c r="AH48" s="25">
        <v>218</v>
      </c>
      <c r="AI48" s="25">
        <v>268</v>
      </c>
      <c r="AJ48" s="25"/>
      <c r="AL48" s="14"/>
      <c r="AM48" s="25"/>
      <c r="AN48" s="25"/>
    </row>
    <row r="49" spans="1:40" s="7" customFormat="1" ht="23.25" customHeight="1" x14ac:dyDescent="0.3">
      <c r="A49" s="4">
        <v>34</v>
      </c>
      <c r="B49" s="11" t="s">
        <v>51</v>
      </c>
      <c r="C49" s="11"/>
      <c r="D49" s="47"/>
      <c r="E49" s="47"/>
      <c r="F49" s="5">
        <v>550</v>
      </c>
      <c r="G49" s="5">
        <v>72</v>
      </c>
      <c r="H49" s="14">
        <v>4.3</v>
      </c>
      <c r="I49" s="25">
        <f>45*4.546</f>
        <v>204.57000000000002</v>
      </c>
      <c r="J49" s="25">
        <f>850*4.546</f>
        <v>3864.1000000000004</v>
      </c>
      <c r="K49" s="25"/>
      <c r="L49" s="16"/>
      <c r="M49" s="14">
        <v>3</v>
      </c>
      <c r="N49" s="25">
        <f>30*4.546</f>
        <v>136.38</v>
      </c>
      <c r="O49" s="20">
        <f>839*4.546</f>
        <v>3814.0940000000001</v>
      </c>
      <c r="P49" s="20"/>
      <c r="R49" s="14">
        <v>0.36</v>
      </c>
      <c r="S49" s="7">
        <f>4*4.546</f>
        <v>18.184000000000001</v>
      </c>
      <c r="T49" s="20">
        <f>835*4.546</f>
        <v>3795.9100000000003</v>
      </c>
      <c r="U49" s="20"/>
      <c r="W49" s="7">
        <v>0</v>
      </c>
      <c r="X49" s="20">
        <v>0</v>
      </c>
      <c r="Y49" s="20">
        <f>1315*4.546</f>
        <v>5977.9900000000007</v>
      </c>
      <c r="Z49" s="20"/>
      <c r="AB49" s="14">
        <v>0.48</v>
      </c>
      <c r="AC49" s="25">
        <f>9.5*4.546</f>
        <v>43.187000000000005</v>
      </c>
      <c r="AD49" s="25">
        <f>1305*4.546</f>
        <v>5932.5300000000007</v>
      </c>
      <c r="AE49" s="25"/>
      <c r="AG49" s="14"/>
      <c r="AH49" s="25"/>
      <c r="AI49" s="25"/>
      <c r="AJ49" s="25"/>
      <c r="AL49" s="14"/>
      <c r="AM49" s="25"/>
      <c r="AN49" s="25"/>
    </row>
    <row r="50" spans="1:40" s="7" customFormat="1" ht="13.8" x14ac:dyDescent="0.3">
      <c r="A50" s="4">
        <v>35</v>
      </c>
      <c r="B50" s="11" t="s">
        <v>52</v>
      </c>
      <c r="C50" s="11"/>
      <c r="D50" s="47"/>
      <c r="E50" s="47"/>
      <c r="F50" s="5">
        <v>375</v>
      </c>
      <c r="G50" s="5">
        <v>54.552000000000007</v>
      </c>
      <c r="H50" s="14">
        <v>0</v>
      </c>
      <c r="I50" s="25">
        <v>0</v>
      </c>
      <c r="J50" s="25">
        <v>2037</v>
      </c>
      <c r="K50" s="25"/>
      <c r="L50" s="16"/>
      <c r="M50" s="14">
        <v>6.25</v>
      </c>
      <c r="N50" s="25">
        <v>38</v>
      </c>
      <c r="O50" s="20">
        <v>1999</v>
      </c>
      <c r="P50" s="20"/>
      <c r="R50" s="14">
        <v>0.2</v>
      </c>
      <c r="S50" s="20">
        <v>2</v>
      </c>
      <c r="T50" s="20">
        <v>1997</v>
      </c>
      <c r="U50" s="20"/>
      <c r="W50" s="7">
        <v>0</v>
      </c>
      <c r="X50" s="20">
        <v>0</v>
      </c>
      <c r="Y50" s="20">
        <v>1997</v>
      </c>
      <c r="Z50" s="20"/>
      <c r="AB50" s="14">
        <v>0.2</v>
      </c>
      <c r="AC50" s="25">
        <v>3</v>
      </c>
      <c r="AD50" s="25">
        <v>1994</v>
      </c>
      <c r="AE50" s="25"/>
      <c r="AG50" s="14">
        <v>0</v>
      </c>
      <c r="AH50" s="25">
        <v>0</v>
      </c>
      <c r="AI50" s="25">
        <v>1994</v>
      </c>
      <c r="AJ50" s="25"/>
      <c r="AL50" s="14"/>
      <c r="AM50" s="25"/>
      <c r="AN50" s="25"/>
    </row>
    <row r="51" spans="1:40" s="7" customFormat="1" ht="13.8" x14ac:dyDescent="0.3">
      <c r="A51" s="4"/>
      <c r="B51" s="18"/>
      <c r="C51" s="18"/>
      <c r="D51" s="47"/>
      <c r="E51" s="47"/>
      <c r="F51" s="5"/>
      <c r="G51" s="5"/>
      <c r="H51" s="17">
        <f>SUM(H48:H50)</f>
        <v>12.3</v>
      </c>
      <c r="I51" s="26">
        <f t="shared" ref="I51" si="15">SUM(I48:I50)</f>
        <v>431.57000000000005</v>
      </c>
      <c r="J51" s="26">
        <f>SUM(J48:J50)</f>
        <v>6796.1</v>
      </c>
      <c r="K51" s="26"/>
      <c r="L51" s="17"/>
      <c r="M51" s="17">
        <f>SUM(M48:M50)</f>
        <v>17.25</v>
      </c>
      <c r="N51" s="26">
        <f t="shared" ref="N51" si="16">SUM(N48:N50)</f>
        <v>447.14</v>
      </c>
      <c r="O51" s="26">
        <f>SUM(O48:O50)</f>
        <v>6467.0940000000001</v>
      </c>
      <c r="P51" s="26"/>
      <c r="Q51" s="10"/>
      <c r="R51" s="17">
        <f>SUM(R48:R50)</f>
        <v>4.5600000000000005</v>
      </c>
      <c r="S51" s="26">
        <f>SUM(S48:S50)</f>
        <v>133.184</v>
      </c>
      <c r="T51" s="26">
        <f>SUM(T48:T50)</f>
        <v>6551.91</v>
      </c>
      <c r="U51" s="26"/>
      <c r="V51" s="10"/>
      <c r="W51" s="17">
        <f>SUM(W48:W50)</f>
        <v>7.92</v>
      </c>
      <c r="X51" s="26">
        <f>SUM(X48:X50)</f>
        <v>272</v>
      </c>
      <c r="Y51" s="26">
        <f>SUM(Y48:Y50)</f>
        <v>8460.9900000000016</v>
      </c>
      <c r="Z51" s="26"/>
      <c r="AA51" s="10"/>
      <c r="AB51" s="17">
        <f>SUM(AB48:AB50)</f>
        <v>7.8400000000000007</v>
      </c>
      <c r="AC51" s="26">
        <f t="shared" ref="AC51" si="17">SUM(AC48:AC50)</f>
        <v>273.18700000000001</v>
      </c>
      <c r="AD51" s="26">
        <f>SUM(AD48:AD50)</f>
        <v>8412.5300000000007</v>
      </c>
      <c r="AE51" s="26"/>
      <c r="AG51" s="17">
        <f>SUM(AG48:AG50)</f>
        <v>7</v>
      </c>
      <c r="AH51" s="26">
        <f t="shared" ref="AH51" si="18">SUM(AH48:AH50)</f>
        <v>218</v>
      </c>
      <c r="AI51" s="26">
        <f>SUM(AI48:AI50)</f>
        <v>2262</v>
      </c>
      <c r="AJ51" s="26"/>
      <c r="AL51" s="17">
        <f>SUM(AL48:AL50)</f>
        <v>0</v>
      </c>
      <c r="AM51" s="26">
        <f t="shared" ref="AM51" si="19">SUM(AM48:AM50)</f>
        <v>0</v>
      </c>
      <c r="AN51" s="26">
        <f>SUM(AN48:AN50)</f>
        <v>0</v>
      </c>
    </row>
    <row r="52" spans="1:40" s="7" customFormat="1" ht="13.8" x14ac:dyDescent="0.3">
      <c r="A52" s="4">
        <v>36</v>
      </c>
      <c r="B52" s="7" t="s">
        <v>43</v>
      </c>
      <c r="C52" s="7" t="s">
        <v>44</v>
      </c>
      <c r="D52" s="48" t="s">
        <v>18</v>
      </c>
      <c r="E52" s="48"/>
      <c r="F52" s="20">
        <v>350</v>
      </c>
      <c r="G52" s="20"/>
      <c r="H52" s="7">
        <v>0</v>
      </c>
      <c r="I52" s="20">
        <v>0</v>
      </c>
      <c r="J52" s="20">
        <v>872.83199999999999</v>
      </c>
      <c r="K52" s="20"/>
      <c r="M52" s="7">
        <v>0</v>
      </c>
      <c r="N52" s="20">
        <v>0</v>
      </c>
      <c r="O52" s="20">
        <v>873</v>
      </c>
      <c r="P52" s="20"/>
      <c r="R52" s="7">
        <v>2</v>
      </c>
      <c r="S52" s="20">
        <v>23</v>
      </c>
      <c r="T52" s="20">
        <f>192*4.546</f>
        <v>872.83200000000011</v>
      </c>
      <c r="U52" s="20"/>
      <c r="W52" s="7">
        <v>0.1</v>
      </c>
      <c r="X52" s="20">
        <v>2.2730000000000001</v>
      </c>
      <c r="Y52" s="20">
        <v>2686.7</v>
      </c>
      <c r="Z52" s="20"/>
      <c r="AB52" s="7">
        <v>0</v>
      </c>
      <c r="AC52" s="20">
        <v>0</v>
      </c>
      <c r="AD52" s="20">
        <v>2687</v>
      </c>
      <c r="AE52" s="20"/>
      <c r="AH52" s="20"/>
      <c r="AI52" s="20"/>
      <c r="AJ52" s="20"/>
      <c r="AM52" s="20"/>
      <c r="AN52" s="20"/>
    </row>
    <row r="53" spans="1:40" s="7" customFormat="1" ht="13.8" x14ac:dyDescent="0.3">
      <c r="A53" s="30"/>
      <c r="D53" s="48"/>
      <c r="E53" s="48"/>
      <c r="F53" s="20">
        <v>165</v>
      </c>
      <c r="G53" s="20"/>
      <c r="H53" s="7">
        <v>0</v>
      </c>
      <c r="I53" s="20">
        <v>0</v>
      </c>
      <c r="J53" s="20">
        <v>0</v>
      </c>
      <c r="K53" s="20"/>
      <c r="M53" s="7">
        <v>0</v>
      </c>
      <c r="N53" s="20">
        <v>0</v>
      </c>
      <c r="O53" s="20">
        <v>0</v>
      </c>
      <c r="P53" s="20"/>
      <c r="R53" s="7">
        <v>0</v>
      </c>
      <c r="S53" s="20">
        <v>0</v>
      </c>
      <c r="T53" s="20">
        <v>0</v>
      </c>
      <c r="U53" s="20"/>
      <c r="W53" s="7">
        <v>0</v>
      </c>
      <c r="X53" s="20">
        <v>0</v>
      </c>
      <c r="Y53" s="20">
        <v>0</v>
      </c>
      <c r="Z53" s="20"/>
      <c r="AB53" s="7">
        <v>0</v>
      </c>
      <c r="AC53" s="20">
        <v>0</v>
      </c>
      <c r="AD53" s="20">
        <v>0</v>
      </c>
      <c r="AE53" s="20"/>
      <c r="AG53" s="7">
        <v>0</v>
      </c>
      <c r="AH53" s="20">
        <v>0</v>
      </c>
      <c r="AI53" s="20">
        <v>0</v>
      </c>
      <c r="AJ53" s="20"/>
      <c r="AM53" s="20"/>
      <c r="AN53" s="20"/>
    </row>
    <row r="54" spans="1:40" s="7" customFormat="1" ht="13.8" x14ac:dyDescent="0.3">
      <c r="A54" s="30"/>
      <c r="D54" s="48"/>
      <c r="E54" s="48"/>
      <c r="F54" s="20"/>
      <c r="G54" s="20"/>
      <c r="I54" s="20"/>
      <c r="J54" s="20"/>
      <c r="K54" s="20"/>
      <c r="N54" s="20"/>
      <c r="O54" s="20"/>
      <c r="P54" s="20"/>
      <c r="S54" s="20"/>
      <c r="T54" s="20"/>
      <c r="U54" s="20"/>
      <c r="X54" s="20"/>
      <c r="Y54" s="20"/>
      <c r="Z54" s="20"/>
      <c r="AC54" s="20"/>
      <c r="AD54" s="20"/>
      <c r="AE54" s="20"/>
      <c r="AH54" s="20"/>
      <c r="AI54" s="20"/>
      <c r="AJ54" s="20"/>
      <c r="AM54" s="20"/>
      <c r="AN54" s="20"/>
    </row>
    <row r="55" spans="1:40" s="7" customFormat="1" ht="13.8" x14ac:dyDescent="0.3">
      <c r="A55" s="30"/>
      <c r="D55" s="48"/>
      <c r="E55" s="48"/>
      <c r="F55" s="20"/>
      <c r="G55" s="20"/>
      <c r="I55" s="20"/>
      <c r="J55" s="20"/>
      <c r="K55" s="20"/>
      <c r="N55" s="20"/>
      <c r="O55" s="20"/>
      <c r="P55" s="20"/>
      <c r="S55" s="20"/>
      <c r="T55" s="20"/>
      <c r="U55" s="20"/>
      <c r="X55" s="20"/>
      <c r="Y55" s="20"/>
      <c r="Z55" s="20"/>
      <c r="AC55" s="20"/>
      <c r="AD55" s="20"/>
      <c r="AE55" s="20"/>
      <c r="AH55" s="20"/>
      <c r="AI55" s="20"/>
      <c r="AJ55" s="20"/>
      <c r="AM55" s="20"/>
      <c r="AN55" s="20"/>
    </row>
    <row r="56" spans="1:40" s="7" customFormat="1" ht="13.8" x14ac:dyDescent="0.3">
      <c r="A56" s="30"/>
      <c r="D56" s="48"/>
      <c r="E56" s="48"/>
      <c r="F56" s="20"/>
      <c r="G56" s="20"/>
      <c r="I56" s="20"/>
      <c r="J56" s="20"/>
      <c r="K56" s="20"/>
      <c r="N56" s="20"/>
      <c r="O56" s="20"/>
      <c r="P56" s="20"/>
      <c r="S56" s="20"/>
      <c r="T56" s="20"/>
      <c r="U56" s="20"/>
      <c r="X56" s="20"/>
      <c r="Y56" s="20"/>
      <c r="Z56" s="20"/>
      <c r="AC56" s="20"/>
      <c r="AD56" s="20"/>
      <c r="AE56" s="20"/>
      <c r="AH56" s="20"/>
      <c r="AI56" s="20"/>
      <c r="AJ56" s="20"/>
      <c r="AM56" s="20"/>
      <c r="AN56" s="20"/>
    </row>
    <row r="57" spans="1:40" s="7" customFormat="1" ht="13.8" x14ac:dyDescent="0.3">
      <c r="A57" s="30"/>
      <c r="D57" s="48"/>
      <c r="E57" s="48"/>
      <c r="F57" s="20"/>
      <c r="G57" s="20"/>
      <c r="I57" s="20"/>
      <c r="J57" s="20"/>
      <c r="K57" s="20"/>
      <c r="N57" s="20"/>
      <c r="O57" s="20"/>
      <c r="P57" s="20"/>
      <c r="S57" s="20"/>
      <c r="T57" s="20"/>
      <c r="U57" s="20"/>
      <c r="X57" s="20"/>
      <c r="Y57" s="20"/>
      <c r="Z57" s="20"/>
      <c r="AC57" s="20"/>
      <c r="AD57" s="20"/>
      <c r="AE57" s="20"/>
      <c r="AH57" s="20"/>
      <c r="AI57" s="20"/>
      <c r="AJ57" s="20"/>
      <c r="AM57" s="20"/>
      <c r="AN57" s="20"/>
    </row>
    <row r="58" spans="1:40" s="7" customFormat="1" ht="13.8" x14ac:dyDescent="0.3">
      <c r="A58" s="30"/>
      <c r="D58" s="48"/>
      <c r="E58" s="48"/>
      <c r="F58" s="20"/>
      <c r="G58" s="20"/>
      <c r="I58" s="20"/>
      <c r="J58" s="20"/>
      <c r="K58" s="20"/>
      <c r="N58" s="20"/>
      <c r="O58" s="20"/>
      <c r="P58" s="20"/>
      <c r="S58" s="20"/>
      <c r="T58" s="20"/>
      <c r="U58" s="20"/>
      <c r="X58" s="20"/>
      <c r="Y58" s="20"/>
      <c r="Z58" s="20"/>
      <c r="AC58" s="20"/>
      <c r="AD58" s="20"/>
      <c r="AE58" s="20"/>
      <c r="AH58" s="20"/>
      <c r="AI58" s="20"/>
      <c r="AJ58" s="20"/>
      <c r="AM58" s="20"/>
      <c r="AN58" s="20"/>
    </row>
    <row r="59" spans="1:40" s="7" customFormat="1" ht="13.8" x14ac:dyDescent="0.3">
      <c r="A59" s="30"/>
      <c r="D59" s="48"/>
      <c r="E59" s="48"/>
      <c r="F59" s="20"/>
      <c r="G59" s="20"/>
      <c r="I59" s="20"/>
      <c r="J59" s="20"/>
      <c r="K59" s="20"/>
      <c r="N59" s="20"/>
      <c r="O59" s="20"/>
      <c r="P59" s="20"/>
      <c r="S59" s="20"/>
      <c r="T59" s="20"/>
      <c r="U59" s="20"/>
      <c r="X59" s="20"/>
      <c r="Y59" s="20"/>
      <c r="Z59" s="20"/>
      <c r="AC59" s="20"/>
      <c r="AD59" s="20"/>
      <c r="AE59" s="20"/>
      <c r="AH59" s="20"/>
      <c r="AI59" s="20"/>
      <c r="AJ59" s="20"/>
      <c r="AM59" s="20"/>
      <c r="AN59" s="20"/>
    </row>
    <row r="60" spans="1:40" s="7" customFormat="1" ht="13.8" x14ac:dyDescent="0.3">
      <c r="A60" s="30"/>
      <c r="D60" s="48"/>
      <c r="E60" s="48"/>
      <c r="F60" s="20"/>
      <c r="G60" s="20"/>
      <c r="I60" s="20"/>
      <c r="J60" s="20"/>
      <c r="K60" s="20"/>
      <c r="N60" s="20"/>
      <c r="O60" s="20"/>
      <c r="P60" s="20"/>
      <c r="S60" s="20"/>
      <c r="T60" s="20"/>
      <c r="U60" s="20"/>
      <c r="X60" s="20"/>
      <c r="Y60" s="20"/>
      <c r="Z60" s="20"/>
      <c r="AC60" s="20"/>
      <c r="AD60" s="20"/>
      <c r="AE60" s="20"/>
      <c r="AH60" s="20"/>
      <c r="AI60" s="20"/>
      <c r="AJ60" s="20"/>
      <c r="AM60" s="20"/>
      <c r="AN60" s="20"/>
    </row>
    <row r="61" spans="1:40" s="7" customFormat="1" ht="13.8" x14ac:dyDescent="0.3">
      <c r="A61" s="30"/>
      <c r="D61" s="48"/>
      <c r="E61" s="48"/>
      <c r="F61" s="20"/>
      <c r="G61" s="20"/>
      <c r="I61" s="20"/>
      <c r="J61" s="20"/>
      <c r="K61" s="20"/>
      <c r="N61" s="20"/>
      <c r="O61" s="20"/>
      <c r="P61" s="20"/>
      <c r="S61" s="20"/>
      <c r="T61" s="20"/>
      <c r="U61" s="20"/>
      <c r="X61" s="20"/>
      <c r="Y61" s="20"/>
      <c r="Z61" s="20"/>
      <c r="AC61" s="20"/>
      <c r="AD61" s="20"/>
      <c r="AE61" s="20"/>
      <c r="AH61" s="20"/>
      <c r="AI61" s="20"/>
      <c r="AJ61" s="20"/>
      <c r="AM61" s="20"/>
      <c r="AN61" s="20"/>
    </row>
    <row r="62" spans="1:40" s="7" customFormat="1" ht="13.8" x14ac:dyDescent="0.3">
      <c r="A62" s="30"/>
      <c r="D62" s="48"/>
      <c r="E62" s="48"/>
      <c r="F62" s="20"/>
      <c r="G62" s="20"/>
      <c r="I62" s="20"/>
      <c r="J62" s="20"/>
      <c r="K62" s="20"/>
      <c r="N62" s="20"/>
      <c r="O62" s="20"/>
      <c r="P62" s="20"/>
      <c r="S62" s="20"/>
      <c r="T62" s="20"/>
      <c r="U62" s="20"/>
      <c r="X62" s="20"/>
      <c r="Y62" s="20"/>
      <c r="Z62" s="20"/>
      <c r="AC62" s="20"/>
      <c r="AD62" s="20"/>
      <c r="AE62" s="20"/>
      <c r="AH62" s="20"/>
      <c r="AI62" s="20"/>
      <c r="AJ62" s="20"/>
      <c r="AM62" s="20"/>
      <c r="AN62" s="20"/>
    </row>
    <row r="63" spans="1:40" s="7" customFormat="1" ht="13.8" x14ac:dyDescent="0.3">
      <c r="A63" s="30"/>
      <c r="D63" s="48"/>
      <c r="E63" s="48"/>
      <c r="F63" s="20"/>
      <c r="G63" s="20"/>
      <c r="I63" s="20"/>
      <c r="J63" s="20"/>
      <c r="K63" s="20"/>
      <c r="N63" s="20"/>
      <c r="O63" s="20"/>
      <c r="P63" s="20"/>
      <c r="S63" s="20"/>
      <c r="T63" s="20"/>
      <c r="U63" s="20"/>
      <c r="X63" s="20"/>
      <c r="Y63" s="20"/>
      <c r="Z63" s="20"/>
      <c r="AC63" s="20"/>
      <c r="AD63" s="20"/>
      <c r="AE63" s="20"/>
      <c r="AH63" s="20"/>
      <c r="AI63" s="20"/>
      <c r="AJ63" s="20"/>
      <c r="AM63" s="20"/>
      <c r="AN63" s="20"/>
    </row>
    <row r="64" spans="1:40" s="7" customFormat="1" ht="13.8" x14ac:dyDescent="0.3">
      <c r="A64" s="30"/>
      <c r="D64" s="48"/>
      <c r="E64" s="48"/>
      <c r="F64" s="20"/>
      <c r="G64" s="20"/>
      <c r="I64" s="20"/>
      <c r="J64" s="20"/>
      <c r="K64" s="20"/>
      <c r="N64" s="20"/>
      <c r="O64" s="20"/>
      <c r="P64" s="20"/>
      <c r="S64" s="20"/>
      <c r="T64" s="20"/>
      <c r="U64" s="20"/>
      <c r="X64" s="20"/>
      <c r="Y64" s="20"/>
      <c r="Z64" s="20"/>
      <c r="AC64" s="20"/>
      <c r="AD64" s="20"/>
      <c r="AE64" s="20"/>
      <c r="AH64" s="20"/>
      <c r="AI64" s="20"/>
      <c r="AJ64" s="20"/>
      <c r="AM64" s="20"/>
      <c r="AN64" s="20"/>
    </row>
    <row r="65" spans="1:40" s="7" customFormat="1" ht="13.8" x14ac:dyDescent="0.3">
      <c r="A65" s="30"/>
      <c r="D65" s="48"/>
      <c r="E65" s="48"/>
      <c r="F65" s="20"/>
      <c r="G65" s="20"/>
      <c r="I65" s="20"/>
      <c r="J65" s="20"/>
      <c r="K65" s="20"/>
      <c r="N65" s="20"/>
      <c r="O65" s="20"/>
      <c r="P65" s="20"/>
      <c r="S65" s="20"/>
      <c r="T65" s="20"/>
      <c r="U65" s="20"/>
      <c r="X65" s="20"/>
      <c r="Y65" s="20"/>
      <c r="Z65" s="20"/>
      <c r="AC65" s="20"/>
      <c r="AD65" s="20"/>
      <c r="AE65" s="20"/>
      <c r="AH65" s="20"/>
      <c r="AI65" s="20"/>
      <c r="AJ65" s="20"/>
      <c r="AM65" s="20"/>
      <c r="AN65" s="20"/>
    </row>
    <row r="66" spans="1:40" s="7" customFormat="1" ht="13.8" x14ac:dyDescent="0.3">
      <c r="A66" s="30"/>
      <c r="D66" s="48"/>
      <c r="E66" s="48"/>
      <c r="F66" s="20"/>
      <c r="G66" s="20"/>
      <c r="I66" s="20"/>
      <c r="J66" s="20"/>
      <c r="K66" s="20"/>
      <c r="N66" s="20"/>
      <c r="O66" s="20"/>
      <c r="P66" s="20"/>
      <c r="S66" s="20"/>
      <c r="T66" s="20"/>
      <c r="U66" s="20"/>
      <c r="X66" s="20"/>
      <c r="Y66" s="20"/>
      <c r="Z66" s="20"/>
      <c r="AC66" s="20"/>
      <c r="AD66" s="20"/>
      <c r="AE66" s="20"/>
      <c r="AH66" s="20"/>
      <c r="AI66" s="20"/>
      <c r="AJ66" s="20"/>
      <c r="AM66" s="20"/>
      <c r="AN66" s="20"/>
    </row>
    <row r="67" spans="1:40" s="7" customFormat="1" ht="13.8" x14ac:dyDescent="0.3">
      <c r="A67" s="30"/>
      <c r="D67" s="48"/>
      <c r="E67" s="48"/>
      <c r="F67" s="20"/>
      <c r="G67" s="20"/>
      <c r="I67" s="20"/>
      <c r="J67" s="20"/>
      <c r="K67" s="20"/>
      <c r="N67" s="20"/>
      <c r="O67" s="20"/>
      <c r="P67" s="20"/>
      <c r="S67" s="20"/>
      <c r="T67" s="20"/>
      <c r="U67" s="20"/>
      <c r="X67" s="20"/>
      <c r="Y67" s="20"/>
      <c r="Z67" s="20"/>
      <c r="AC67" s="20"/>
      <c r="AD67" s="20"/>
      <c r="AE67" s="20"/>
      <c r="AH67" s="20"/>
      <c r="AI67" s="20"/>
      <c r="AJ67" s="20"/>
      <c r="AM67" s="20"/>
      <c r="AN67" s="20"/>
    </row>
    <row r="68" spans="1:40" s="7" customFormat="1" ht="13.8" x14ac:dyDescent="0.3">
      <c r="A68" s="30"/>
      <c r="D68" s="48"/>
      <c r="E68" s="48"/>
      <c r="F68" s="20"/>
      <c r="G68" s="20"/>
      <c r="I68" s="20"/>
      <c r="J68" s="20"/>
      <c r="K68" s="20"/>
      <c r="N68" s="20"/>
      <c r="O68" s="20"/>
      <c r="P68" s="20"/>
      <c r="S68" s="20"/>
      <c r="T68" s="20"/>
      <c r="U68" s="20"/>
      <c r="X68" s="20"/>
      <c r="Y68" s="20"/>
      <c r="Z68" s="20"/>
      <c r="AC68" s="20"/>
      <c r="AD68" s="20"/>
      <c r="AE68" s="20"/>
      <c r="AH68" s="20"/>
      <c r="AI68" s="20"/>
      <c r="AJ68" s="20"/>
      <c r="AM68" s="20"/>
      <c r="AN68" s="20"/>
    </row>
    <row r="69" spans="1:40" s="7" customFormat="1" ht="13.8" x14ac:dyDescent="0.3">
      <c r="A69" s="30"/>
      <c r="D69" s="48"/>
      <c r="E69" s="48"/>
      <c r="F69" s="20"/>
      <c r="G69" s="20"/>
      <c r="I69" s="20"/>
      <c r="J69" s="20"/>
      <c r="K69" s="20"/>
      <c r="N69" s="20"/>
      <c r="O69" s="20"/>
      <c r="P69" s="20"/>
      <c r="S69" s="20"/>
      <c r="T69" s="20"/>
      <c r="U69" s="20"/>
      <c r="X69" s="20"/>
      <c r="Y69" s="20"/>
      <c r="Z69" s="20"/>
      <c r="AC69" s="20"/>
      <c r="AD69" s="20"/>
      <c r="AE69" s="20"/>
      <c r="AH69" s="20"/>
      <c r="AI69" s="20"/>
      <c r="AJ69" s="20"/>
      <c r="AM69" s="20"/>
      <c r="AN69" s="20"/>
    </row>
    <row r="70" spans="1:40" s="7" customFormat="1" ht="13.8" x14ac:dyDescent="0.3">
      <c r="A70" s="30"/>
      <c r="D70" s="48"/>
      <c r="E70" s="48"/>
      <c r="F70" s="20"/>
      <c r="G70" s="20"/>
      <c r="I70" s="20"/>
      <c r="J70" s="20"/>
      <c r="K70" s="20"/>
      <c r="N70" s="20"/>
      <c r="O70" s="20"/>
      <c r="P70" s="20"/>
      <c r="S70" s="20"/>
      <c r="T70" s="20"/>
      <c r="U70" s="20"/>
      <c r="X70" s="20"/>
      <c r="Y70" s="20"/>
      <c r="Z70" s="20"/>
      <c r="AC70" s="20"/>
      <c r="AD70" s="20"/>
      <c r="AE70" s="20"/>
      <c r="AH70" s="20"/>
      <c r="AI70" s="20"/>
      <c r="AJ70" s="20"/>
      <c r="AM70" s="20"/>
      <c r="AN70" s="20"/>
    </row>
    <row r="71" spans="1:40" s="7" customFormat="1" ht="13.8" x14ac:dyDescent="0.3">
      <c r="A71" s="30"/>
      <c r="D71" s="48"/>
      <c r="E71" s="48"/>
      <c r="F71" s="20"/>
      <c r="G71" s="20"/>
      <c r="I71" s="20"/>
      <c r="J71" s="20"/>
      <c r="K71" s="20"/>
      <c r="N71" s="20"/>
      <c r="O71" s="20"/>
      <c r="P71" s="20"/>
      <c r="S71" s="20"/>
      <c r="T71" s="20"/>
      <c r="U71" s="20"/>
      <c r="X71" s="20"/>
      <c r="Y71" s="20"/>
      <c r="Z71" s="20"/>
      <c r="AC71" s="20"/>
      <c r="AD71" s="20"/>
      <c r="AE71" s="20"/>
      <c r="AH71" s="20"/>
      <c r="AI71" s="20"/>
      <c r="AJ71" s="20"/>
      <c r="AM71" s="20"/>
      <c r="AN71" s="20"/>
    </row>
    <row r="72" spans="1:40" s="7" customFormat="1" ht="13.8" x14ac:dyDescent="0.3">
      <c r="A72" s="30"/>
      <c r="D72" s="48"/>
      <c r="E72" s="48"/>
      <c r="F72" s="20"/>
      <c r="G72" s="20"/>
      <c r="I72" s="20"/>
      <c r="J72" s="20"/>
      <c r="K72" s="20"/>
      <c r="N72" s="20"/>
      <c r="O72" s="20"/>
      <c r="P72" s="20"/>
      <c r="S72" s="20"/>
      <c r="T72" s="20"/>
      <c r="U72" s="20"/>
      <c r="X72" s="20"/>
      <c r="Y72" s="20"/>
      <c r="Z72" s="20"/>
      <c r="AC72" s="20"/>
      <c r="AD72" s="20"/>
      <c r="AE72" s="20"/>
      <c r="AH72" s="20"/>
      <c r="AI72" s="20"/>
      <c r="AJ72" s="20"/>
      <c r="AM72" s="20"/>
      <c r="AN72" s="20"/>
    </row>
    <row r="73" spans="1:40" s="7" customFormat="1" ht="13.8" x14ac:dyDescent="0.3">
      <c r="A73" s="30"/>
      <c r="D73" s="48"/>
      <c r="E73" s="48"/>
      <c r="F73" s="20"/>
      <c r="G73" s="20"/>
      <c r="I73" s="20"/>
      <c r="J73" s="20"/>
      <c r="K73" s="20"/>
      <c r="N73" s="20"/>
      <c r="O73" s="20"/>
      <c r="P73" s="20"/>
      <c r="S73" s="20"/>
      <c r="T73" s="20"/>
      <c r="U73" s="20"/>
      <c r="X73" s="20"/>
      <c r="Y73" s="20"/>
      <c r="Z73" s="20"/>
      <c r="AC73" s="20"/>
      <c r="AD73" s="20"/>
      <c r="AE73" s="20"/>
      <c r="AH73" s="20"/>
      <c r="AI73" s="20"/>
      <c r="AJ73" s="20"/>
      <c r="AM73" s="20"/>
      <c r="AN73" s="20"/>
    </row>
    <row r="74" spans="1:40" s="7" customFormat="1" ht="13.8" x14ac:dyDescent="0.3">
      <c r="A74" s="30"/>
      <c r="D74" s="48"/>
      <c r="E74" s="48"/>
      <c r="F74" s="20"/>
      <c r="G74" s="20"/>
      <c r="I74" s="20"/>
      <c r="J74" s="20"/>
      <c r="K74" s="20"/>
      <c r="N74" s="20"/>
      <c r="O74" s="20"/>
      <c r="P74" s="20"/>
      <c r="S74" s="20"/>
      <c r="T74" s="20"/>
      <c r="U74" s="20"/>
      <c r="X74" s="20"/>
      <c r="Y74" s="20"/>
      <c r="Z74" s="20"/>
      <c r="AC74" s="20"/>
      <c r="AD74" s="20"/>
      <c r="AE74" s="20"/>
      <c r="AH74" s="20"/>
      <c r="AI74" s="20"/>
      <c r="AJ74" s="20"/>
      <c r="AM74" s="20"/>
      <c r="AN74" s="20"/>
    </row>
    <row r="75" spans="1:40" s="7" customFormat="1" ht="13.8" x14ac:dyDescent="0.3">
      <c r="A75" s="30"/>
      <c r="D75" s="48"/>
      <c r="E75" s="48"/>
      <c r="F75" s="20"/>
      <c r="G75" s="20"/>
      <c r="I75" s="20"/>
      <c r="J75" s="20"/>
      <c r="K75" s="20"/>
      <c r="N75" s="20"/>
      <c r="O75" s="20"/>
      <c r="P75" s="20"/>
      <c r="S75" s="20"/>
      <c r="T75" s="20"/>
      <c r="U75" s="20"/>
      <c r="X75" s="20"/>
      <c r="Y75" s="20"/>
      <c r="Z75" s="20"/>
      <c r="AC75" s="20"/>
      <c r="AD75" s="20"/>
      <c r="AE75" s="20"/>
      <c r="AH75" s="20"/>
      <c r="AI75" s="20"/>
      <c r="AJ75" s="20"/>
      <c r="AM75" s="20"/>
      <c r="AN75" s="20"/>
    </row>
    <row r="76" spans="1:40" s="7" customFormat="1" ht="13.8" x14ac:dyDescent="0.3">
      <c r="A76" s="30"/>
      <c r="D76" s="48"/>
      <c r="E76" s="48"/>
      <c r="F76" s="20"/>
      <c r="G76" s="20"/>
      <c r="I76" s="20"/>
      <c r="J76" s="20"/>
      <c r="K76" s="20"/>
      <c r="N76" s="20"/>
      <c r="O76" s="20"/>
      <c r="P76" s="20"/>
      <c r="S76" s="20"/>
      <c r="T76" s="20"/>
      <c r="U76" s="20"/>
      <c r="X76" s="20"/>
      <c r="Y76" s="20"/>
      <c r="Z76" s="20"/>
      <c r="AC76" s="20"/>
      <c r="AD76" s="20"/>
      <c r="AE76" s="20"/>
      <c r="AH76" s="20"/>
      <c r="AI76" s="20"/>
      <c r="AJ76" s="20"/>
      <c r="AM76" s="20"/>
      <c r="AN76" s="20"/>
    </row>
    <row r="77" spans="1:40" s="7" customFormat="1" ht="13.8" x14ac:dyDescent="0.3">
      <c r="A77" s="30"/>
      <c r="D77" s="48"/>
      <c r="E77" s="48"/>
      <c r="F77" s="20"/>
      <c r="G77" s="20"/>
      <c r="I77" s="20"/>
      <c r="J77" s="20"/>
      <c r="K77" s="20"/>
      <c r="N77" s="20"/>
      <c r="O77" s="20"/>
      <c r="P77" s="20"/>
      <c r="S77" s="20"/>
      <c r="T77" s="20"/>
      <c r="U77" s="20"/>
      <c r="X77" s="20"/>
      <c r="Y77" s="20"/>
      <c r="Z77" s="20"/>
      <c r="AC77" s="20"/>
      <c r="AD77" s="20"/>
      <c r="AE77" s="20"/>
      <c r="AH77" s="20"/>
      <c r="AI77" s="20"/>
      <c r="AJ77" s="20"/>
      <c r="AM77" s="20"/>
      <c r="AN77" s="20"/>
    </row>
    <row r="78" spans="1:40" s="7" customFormat="1" ht="13.8" x14ac:dyDescent="0.3">
      <c r="A78" s="30"/>
      <c r="D78" s="48"/>
      <c r="E78" s="48"/>
      <c r="F78" s="20"/>
      <c r="G78" s="20"/>
      <c r="I78" s="20"/>
      <c r="J78" s="20"/>
      <c r="K78" s="20"/>
      <c r="N78" s="20"/>
      <c r="O78" s="20"/>
      <c r="P78" s="20"/>
      <c r="S78" s="20"/>
      <c r="T78" s="20"/>
      <c r="U78" s="20"/>
      <c r="X78" s="20"/>
      <c r="Y78" s="20"/>
      <c r="Z78" s="20"/>
      <c r="AC78" s="20"/>
      <c r="AD78" s="20"/>
      <c r="AE78" s="20"/>
      <c r="AH78" s="20"/>
      <c r="AI78" s="20"/>
      <c r="AJ78" s="20"/>
      <c r="AM78" s="20"/>
      <c r="AN78" s="20"/>
    </row>
    <row r="79" spans="1:40" s="7" customFormat="1" ht="13.8" x14ac:dyDescent="0.3">
      <c r="A79" s="30"/>
      <c r="D79" s="48"/>
      <c r="E79" s="48"/>
      <c r="F79" s="20"/>
      <c r="G79" s="20"/>
      <c r="I79" s="20"/>
      <c r="J79" s="20"/>
      <c r="K79" s="20"/>
      <c r="N79" s="20"/>
      <c r="O79" s="20"/>
      <c r="P79" s="20"/>
      <c r="S79" s="20"/>
      <c r="T79" s="20"/>
      <c r="U79" s="20"/>
      <c r="X79" s="20"/>
      <c r="Y79" s="20"/>
      <c r="Z79" s="20"/>
      <c r="AC79" s="20"/>
      <c r="AD79" s="20"/>
      <c r="AE79" s="20"/>
      <c r="AH79" s="20"/>
      <c r="AI79" s="20"/>
      <c r="AJ79" s="20"/>
      <c r="AM79" s="20"/>
      <c r="AN79" s="20"/>
    </row>
    <row r="80" spans="1:40" s="7" customFormat="1" ht="13.8" x14ac:dyDescent="0.3">
      <c r="A80" s="30"/>
      <c r="D80" s="48"/>
      <c r="E80" s="48"/>
      <c r="F80" s="20"/>
      <c r="G80" s="20"/>
      <c r="I80" s="20"/>
      <c r="J80" s="20"/>
      <c r="K80" s="20"/>
      <c r="N80" s="20"/>
      <c r="O80" s="20"/>
      <c r="P80" s="20"/>
      <c r="S80" s="20"/>
      <c r="T80" s="20"/>
      <c r="U80" s="20"/>
      <c r="X80" s="20"/>
      <c r="Y80" s="20"/>
      <c r="Z80" s="20"/>
      <c r="AC80" s="20"/>
      <c r="AD80" s="20"/>
      <c r="AE80" s="20"/>
      <c r="AH80" s="20"/>
      <c r="AI80" s="20"/>
      <c r="AJ80" s="20"/>
      <c r="AM80" s="20"/>
      <c r="AN80" s="20"/>
    </row>
    <row r="81" spans="1:40" s="7" customFormat="1" ht="13.8" x14ac:dyDescent="0.3">
      <c r="A81" s="30"/>
      <c r="D81" s="48"/>
      <c r="E81" s="48"/>
      <c r="F81" s="20"/>
      <c r="G81" s="20"/>
      <c r="I81" s="20"/>
      <c r="J81" s="20"/>
      <c r="K81" s="20"/>
      <c r="N81" s="20"/>
      <c r="O81" s="20"/>
      <c r="P81" s="20"/>
      <c r="S81" s="20"/>
      <c r="T81" s="20"/>
      <c r="U81" s="20"/>
      <c r="X81" s="20"/>
      <c r="Y81" s="20"/>
      <c r="Z81" s="20"/>
      <c r="AC81" s="20"/>
      <c r="AD81" s="20"/>
      <c r="AE81" s="20"/>
      <c r="AH81" s="20"/>
      <c r="AI81" s="20"/>
      <c r="AJ81" s="20"/>
      <c r="AM81" s="20"/>
      <c r="AN81" s="20"/>
    </row>
    <row r="82" spans="1:40" s="7" customFormat="1" ht="13.8" x14ac:dyDescent="0.3">
      <c r="A82" s="30"/>
      <c r="D82" s="48"/>
      <c r="E82" s="48"/>
      <c r="F82" s="20"/>
      <c r="G82" s="20"/>
      <c r="I82" s="20"/>
      <c r="J82" s="20"/>
      <c r="K82" s="20"/>
      <c r="N82" s="20"/>
      <c r="O82" s="20"/>
      <c r="P82" s="20"/>
      <c r="S82" s="20"/>
      <c r="T82" s="20"/>
      <c r="U82" s="20"/>
      <c r="X82" s="20"/>
      <c r="Y82" s="20"/>
      <c r="Z82" s="20"/>
      <c r="AC82" s="20"/>
      <c r="AD82" s="20"/>
      <c r="AE82" s="20"/>
      <c r="AH82" s="20"/>
      <c r="AI82" s="20"/>
      <c r="AJ82" s="20"/>
      <c r="AM82" s="20"/>
      <c r="AN82" s="20"/>
    </row>
    <row r="83" spans="1:40" s="7" customFormat="1" ht="13.8" x14ac:dyDescent="0.3">
      <c r="A83" s="30"/>
      <c r="D83" s="48"/>
      <c r="E83" s="48"/>
      <c r="F83" s="20"/>
      <c r="G83" s="20"/>
      <c r="I83" s="20"/>
      <c r="J83" s="20"/>
      <c r="K83" s="20"/>
      <c r="N83" s="20"/>
      <c r="O83" s="20"/>
      <c r="P83" s="20"/>
      <c r="S83" s="20"/>
      <c r="T83" s="20"/>
      <c r="U83" s="20"/>
      <c r="X83" s="20"/>
      <c r="Y83" s="20"/>
      <c r="Z83" s="20"/>
      <c r="AC83" s="20"/>
      <c r="AD83" s="20"/>
      <c r="AE83" s="20"/>
      <c r="AH83" s="20"/>
      <c r="AI83" s="20"/>
      <c r="AJ83" s="20"/>
      <c r="AM83" s="20"/>
      <c r="AN83" s="20"/>
    </row>
    <row r="84" spans="1:40" s="7" customFormat="1" ht="13.8" x14ac:dyDescent="0.3">
      <c r="A84" s="30"/>
      <c r="D84" s="48"/>
      <c r="E84" s="48"/>
      <c r="F84" s="20"/>
      <c r="G84" s="20"/>
      <c r="I84" s="20"/>
      <c r="J84" s="20"/>
      <c r="K84" s="20"/>
      <c r="N84" s="20"/>
      <c r="O84" s="20"/>
      <c r="P84" s="20"/>
      <c r="S84" s="20"/>
      <c r="T84" s="20"/>
      <c r="U84" s="20"/>
      <c r="X84" s="20"/>
      <c r="Y84" s="20"/>
      <c r="Z84" s="20"/>
      <c r="AC84" s="20"/>
      <c r="AD84" s="20"/>
      <c r="AE84" s="20"/>
      <c r="AH84" s="20"/>
      <c r="AI84" s="20"/>
      <c r="AJ84" s="20"/>
      <c r="AM84" s="20"/>
      <c r="AN84" s="20"/>
    </row>
    <row r="85" spans="1:40" s="7" customFormat="1" ht="13.8" x14ac:dyDescent="0.3">
      <c r="A85" s="30"/>
      <c r="D85" s="48"/>
      <c r="E85" s="48"/>
      <c r="F85" s="20"/>
      <c r="G85" s="20"/>
      <c r="I85" s="20"/>
      <c r="J85" s="20"/>
      <c r="K85" s="20"/>
      <c r="N85" s="20"/>
      <c r="O85" s="20"/>
      <c r="P85" s="20"/>
      <c r="S85" s="20"/>
      <c r="T85" s="20"/>
      <c r="U85" s="20"/>
      <c r="X85" s="20"/>
      <c r="Y85" s="20"/>
      <c r="Z85" s="20"/>
      <c r="AC85" s="20"/>
      <c r="AD85" s="20"/>
      <c r="AE85" s="20"/>
      <c r="AH85" s="20"/>
      <c r="AI85" s="20"/>
      <c r="AJ85" s="20"/>
      <c r="AM85" s="20"/>
      <c r="AN85" s="20"/>
    </row>
    <row r="86" spans="1:40" s="7" customFormat="1" ht="13.8" x14ac:dyDescent="0.3">
      <c r="A86" s="30"/>
      <c r="D86" s="48"/>
      <c r="E86" s="48"/>
      <c r="F86" s="20"/>
      <c r="G86" s="20"/>
      <c r="I86" s="20"/>
      <c r="J86" s="20"/>
      <c r="K86" s="20"/>
      <c r="N86" s="20"/>
      <c r="O86" s="20"/>
      <c r="P86" s="20"/>
      <c r="S86" s="20"/>
      <c r="T86" s="20"/>
      <c r="U86" s="20"/>
      <c r="X86" s="20"/>
      <c r="Y86" s="20"/>
      <c r="Z86" s="20"/>
      <c r="AC86" s="20"/>
      <c r="AD86" s="20"/>
      <c r="AE86" s="20"/>
      <c r="AH86" s="20"/>
      <c r="AI86" s="20"/>
      <c r="AJ86" s="20"/>
      <c r="AM86" s="20"/>
      <c r="AN86" s="20"/>
    </row>
    <row r="87" spans="1:40" s="7" customFormat="1" ht="13.8" x14ac:dyDescent="0.3">
      <c r="A87" s="30"/>
      <c r="D87" s="48"/>
      <c r="E87" s="48"/>
      <c r="F87" s="20"/>
      <c r="G87" s="20"/>
      <c r="I87" s="20"/>
      <c r="J87" s="20"/>
      <c r="K87" s="20"/>
      <c r="N87" s="20"/>
      <c r="O87" s="20"/>
      <c r="P87" s="20"/>
      <c r="S87" s="20"/>
      <c r="T87" s="20"/>
      <c r="U87" s="20"/>
      <c r="X87" s="20"/>
      <c r="Y87" s="20"/>
      <c r="Z87" s="20"/>
      <c r="AC87" s="20"/>
      <c r="AD87" s="20"/>
      <c r="AE87" s="20"/>
      <c r="AH87" s="20"/>
      <c r="AI87" s="20"/>
      <c r="AJ87" s="20"/>
      <c r="AM87" s="20"/>
      <c r="AN87" s="20"/>
    </row>
    <row r="88" spans="1:40" s="7" customFormat="1" ht="13.8" x14ac:dyDescent="0.3">
      <c r="A88" s="30"/>
      <c r="D88" s="48"/>
      <c r="E88" s="48"/>
      <c r="F88" s="20"/>
      <c r="G88" s="20"/>
      <c r="I88" s="20"/>
      <c r="J88" s="20"/>
      <c r="K88" s="20"/>
      <c r="N88" s="20"/>
      <c r="O88" s="20"/>
      <c r="P88" s="20"/>
      <c r="S88" s="20"/>
      <c r="T88" s="20"/>
      <c r="U88" s="20"/>
      <c r="X88" s="20"/>
      <c r="Y88" s="20"/>
      <c r="Z88" s="20"/>
      <c r="AC88" s="20"/>
      <c r="AD88" s="20"/>
      <c r="AE88" s="20"/>
      <c r="AH88" s="20"/>
      <c r="AI88" s="20"/>
      <c r="AJ88" s="20"/>
      <c r="AM88" s="20"/>
      <c r="AN88" s="20"/>
    </row>
    <row r="89" spans="1:40" s="7" customFormat="1" ht="13.8" x14ac:dyDescent="0.3">
      <c r="A89" s="30"/>
      <c r="D89" s="48"/>
      <c r="E89" s="48"/>
      <c r="F89" s="20"/>
      <c r="G89" s="20"/>
      <c r="I89" s="20"/>
      <c r="J89" s="20"/>
      <c r="K89" s="20"/>
      <c r="N89" s="20"/>
      <c r="O89" s="20"/>
      <c r="P89" s="20"/>
      <c r="S89" s="20"/>
      <c r="T89" s="20"/>
      <c r="U89" s="20"/>
      <c r="X89" s="20"/>
      <c r="Y89" s="20"/>
      <c r="Z89" s="20"/>
      <c r="AC89" s="20"/>
      <c r="AD89" s="20"/>
      <c r="AE89" s="20"/>
      <c r="AH89" s="20"/>
      <c r="AI89" s="20"/>
      <c r="AJ89" s="20"/>
      <c r="AM89" s="20"/>
      <c r="AN89" s="20"/>
    </row>
    <row r="90" spans="1:40" s="7" customFormat="1" ht="13.8" x14ac:dyDescent="0.3">
      <c r="A90" s="30"/>
      <c r="D90" s="48"/>
      <c r="E90" s="48"/>
      <c r="F90" s="20"/>
      <c r="G90" s="20"/>
      <c r="I90" s="20"/>
      <c r="J90" s="20"/>
      <c r="K90" s="20"/>
      <c r="N90" s="20"/>
      <c r="O90" s="20"/>
      <c r="P90" s="20"/>
      <c r="S90" s="20"/>
      <c r="T90" s="20"/>
      <c r="U90" s="20"/>
      <c r="X90" s="20"/>
      <c r="Y90" s="20"/>
      <c r="Z90" s="20"/>
      <c r="AC90" s="20"/>
      <c r="AD90" s="20"/>
      <c r="AE90" s="20"/>
      <c r="AH90" s="20"/>
      <c r="AI90" s="20"/>
      <c r="AJ90" s="20"/>
      <c r="AM90" s="20"/>
      <c r="AN90" s="20"/>
    </row>
    <row r="91" spans="1:40" s="7" customFormat="1" ht="13.8" x14ac:dyDescent="0.3">
      <c r="A91" s="30"/>
      <c r="D91" s="48"/>
      <c r="E91" s="48"/>
      <c r="F91" s="20"/>
      <c r="G91" s="20"/>
      <c r="I91" s="20"/>
      <c r="J91" s="20"/>
      <c r="K91" s="20"/>
      <c r="N91" s="20"/>
      <c r="O91" s="20"/>
      <c r="P91" s="20"/>
      <c r="S91" s="20"/>
      <c r="T91" s="20"/>
      <c r="U91" s="20"/>
      <c r="X91" s="20"/>
      <c r="Y91" s="20"/>
      <c r="Z91" s="20"/>
      <c r="AC91" s="20"/>
      <c r="AD91" s="20"/>
      <c r="AE91" s="20"/>
      <c r="AH91" s="20"/>
      <c r="AI91" s="20"/>
      <c r="AJ91" s="20"/>
      <c r="AM91" s="20"/>
      <c r="AN91" s="20"/>
    </row>
    <row r="92" spans="1:40" s="7" customFormat="1" ht="13.8" x14ac:dyDescent="0.3">
      <c r="A92" s="30"/>
      <c r="D92" s="48"/>
      <c r="E92" s="48"/>
      <c r="F92" s="20"/>
      <c r="G92" s="20"/>
      <c r="I92" s="20"/>
      <c r="J92" s="20"/>
      <c r="K92" s="20"/>
      <c r="N92" s="20"/>
      <c r="O92" s="20"/>
      <c r="P92" s="20"/>
      <c r="S92" s="20"/>
      <c r="T92" s="20"/>
      <c r="U92" s="20"/>
      <c r="X92" s="20"/>
      <c r="Y92" s="20"/>
      <c r="Z92" s="20"/>
      <c r="AC92" s="20"/>
      <c r="AD92" s="20"/>
      <c r="AE92" s="20"/>
      <c r="AH92" s="20"/>
      <c r="AI92" s="20"/>
      <c r="AJ92" s="20"/>
      <c r="AM92" s="20"/>
      <c r="AN92" s="20"/>
    </row>
  </sheetData>
  <mergeCells count="10">
    <mergeCell ref="AB2:AD2"/>
    <mergeCell ref="AG2:AI2"/>
    <mergeCell ref="AL2:AN2"/>
    <mergeCell ref="A4:G4"/>
    <mergeCell ref="A2:A3"/>
    <mergeCell ref="B2:B3"/>
    <mergeCell ref="H2:J2"/>
    <mergeCell ref="M2:O2"/>
    <mergeCell ref="R2:T2"/>
    <mergeCell ref="W2:Y2"/>
  </mergeCells>
  <conditionalFormatting sqref="H31:H36">
    <cfRule type="cellIs" dxfId="15" priority="26" operator="greaterThan">
      <formula>4</formula>
    </cfRule>
  </conditionalFormatting>
  <conditionalFormatting sqref="M6:M27 H6:H28 AL6:AL28 R13:R27 W24:W27 H48:H50 M48:M50 AB48:AB50 AG48:AG50 AL48:AL50">
    <cfRule type="cellIs" dxfId="14" priority="29" operator="greaterThan">
      <formula>4</formula>
    </cfRule>
  </conditionalFormatting>
  <conditionalFormatting sqref="M31:M36">
    <cfRule type="cellIs" dxfId="13" priority="24" operator="greaterThan">
      <formula>4</formula>
    </cfRule>
  </conditionalFormatting>
  <conditionalFormatting sqref="M39:M41">
    <cfRule type="cellIs" dxfId="12" priority="23" operator="greaterThan">
      <formula>4</formula>
    </cfRule>
  </conditionalFormatting>
  <conditionalFormatting sqref="M44">
    <cfRule type="cellIs" dxfId="11" priority="22" operator="greaterThan">
      <formula>4</formula>
    </cfRule>
  </conditionalFormatting>
  <conditionalFormatting sqref="R6:R11">
    <cfRule type="cellIs" dxfId="10" priority="20" operator="greaterThan">
      <formula>4</formula>
    </cfRule>
  </conditionalFormatting>
  <conditionalFormatting sqref="R31:R36">
    <cfRule type="cellIs" dxfId="9" priority="19" operator="greaterThan">
      <formula>4</formula>
    </cfRule>
  </conditionalFormatting>
  <conditionalFormatting sqref="R39:R41">
    <cfRule type="cellIs" dxfId="8" priority="18" operator="greaterThan">
      <formula>4</formula>
    </cfRule>
  </conditionalFormatting>
  <conditionalFormatting sqref="R47:R50">
    <cfRule type="cellIs" dxfId="7" priority="17" operator="greaterThan">
      <formula>4</formula>
    </cfRule>
  </conditionalFormatting>
  <conditionalFormatting sqref="W6:W22">
    <cfRule type="cellIs" dxfId="6" priority="3" operator="greaterThan">
      <formula>4</formula>
    </cfRule>
  </conditionalFormatting>
  <conditionalFormatting sqref="W31:W36">
    <cfRule type="cellIs" dxfId="5" priority="4" operator="greaterThan">
      <formula>4</formula>
    </cfRule>
  </conditionalFormatting>
  <conditionalFormatting sqref="AB6:AB7 AB9:AB12 AB14:AB28">
    <cfRule type="cellIs" dxfId="4" priority="2" operator="greaterThan">
      <formula>4</formula>
    </cfRule>
  </conditionalFormatting>
  <conditionalFormatting sqref="AB31:AB36">
    <cfRule type="cellIs" dxfId="3" priority="13" operator="greaterThan">
      <formula>4</formula>
    </cfRule>
  </conditionalFormatting>
  <conditionalFormatting sqref="AG6:AG28">
    <cfRule type="cellIs" dxfId="2" priority="1" operator="greaterThan">
      <formula>4</formula>
    </cfRule>
  </conditionalFormatting>
  <conditionalFormatting sqref="AG31:AG36">
    <cfRule type="cellIs" dxfId="1" priority="10" operator="greaterThan">
      <formula>4</formula>
    </cfRule>
  </conditionalFormatting>
  <conditionalFormatting sqref="AL31:AL36">
    <cfRule type="cellIs" dxfId="0" priority="7" operator="greaterThan">
      <formula>4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1FF812578A9249984E6A81D86A58F9" ma:contentTypeVersion="12" ma:contentTypeDescription="Create a new document." ma:contentTypeScope="" ma:versionID="f2f013c7502a6c5e4068923bd23dfef4">
  <xsd:schema xmlns:xsd="http://www.w3.org/2001/XMLSchema" xmlns:xs="http://www.w3.org/2001/XMLSchema" xmlns:p="http://schemas.microsoft.com/office/2006/metadata/properties" xmlns:ns2="bac1b4bd-e36d-4bd7-a12e-5a3ed8e0a3a0" xmlns:ns3="8415db7d-44cc-4dd3-8909-2fbd3db14390" targetNamespace="http://schemas.microsoft.com/office/2006/metadata/properties" ma:root="true" ma:fieldsID="b570343c6fe753a1aa35838d07321bfb" ns2:_="" ns3:_="">
    <xsd:import namespace="bac1b4bd-e36d-4bd7-a12e-5a3ed8e0a3a0"/>
    <xsd:import namespace="8415db7d-44cc-4dd3-8909-2fbd3db143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1b4bd-e36d-4bd7-a12e-5a3ed8e0a3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ae5ac87-0055-4ddc-8316-51e615eba2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5db7d-44cc-4dd3-8909-2fbd3db1439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9751ee9-a7ef-4841-9684-7f508fb54d8d}" ma:internalName="TaxCatchAll" ma:showField="CatchAllData" ma:web="8415db7d-44cc-4dd3-8909-2fbd3db143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15db7d-44cc-4dd3-8909-2fbd3db14390" xsi:nil="true"/>
    <lcf76f155ced4ddcb4097134ff3c332f xmlns="bac1b4bd-e36d-4bd7-a12e-5a3ed8e0a3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855048-BA69-479C-8D33-19BBEC980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c1b4bd-e36d-4bd7-a12e-5a3ed8e0a3a0"/>
    <ds:schemaRef ds:uri="8415db7d-44cc-4dd3-8909-2fbd3db143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C51F1D-0516-4E13-86F1-EA43DA3855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607C74-5F43-4F62-B793-CF73E08EC774}">
  <ds:schemaRefs>
    <ds:schemaRef ds:uri="http://purl.org/dc/elements/1.1/"/>
    <ds:schemaRef ds:uri="8415db7d-44cc-4dd3-8909-2fbd3db14390"/>
    <ds:schemaRef ds:uri="http://purl.org/dc/terms/"/>
    <ds:schemaRef ds:uri="bac1b4bd-e36d-4bd7-a12e-5a3ed8e0a3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CMHL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 Cho</dc:creator>
  <cp:keywords/>
  <dc:description/>
  <cp:lastModifiedBy>OCDP-Branch Manager</cp:lastModifiedBy>
  <cp:revision/>
  <dcterms:created xsi:type="dcterms:W3CDTF">2026-03-26T04:04:21Z</dcterms:created>
  <dcterms:modified xsi:type="dcterms:W3CDTF">2026-03-31T03:04:21Z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0x0101002F1FF812578A9249984E6A81D86A58F9</vt:lpwstr>
  </property>
  <property fmtid="{D5CDD505-2E9C-101B-9397-08002B2CF9AE}" pid="3" name="MediaServiceImageTags">
    <vt:lpwstr/>
  </property>
</Properties>
</file>