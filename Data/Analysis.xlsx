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working\"/>
    </mc:Choice>
  </mc:AlternateContent>
  <xr:revisionPtr revIDLastSave="397" documentId="8_{F9CDF6DC-8142-429D-BB88-9AEE962E5BA6}" xr6:coauthVersionLast="47" xr6:coauthVersionMax="47" xr10:uidLastSave="{96570FE3-F27B-401F-8697-9524B83C815F}"/>
  <bookViews>
    <workbookView xWindow="-110" yWindow="-110" windowWidth="19420" windowHeight="11620" firstSheet="1" activeTab="1" xr2:uid="{6BA32560-0FFF-4C5F-92FB-382FA0C252F2}"/>
  </bookViews>
  <sheets>
    <sheet name="diesel used" sheetId="1" r:id="rId1"/>
    <sheet name="Day of Buff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9" i="2" l="1"/>
  <c r="AJ109" i="2"/>
  <c r="AK108" i="2"/>
  <c r="AJ108" i="2"/>
  <c r="AK106" i="2"/>
  <c r="AJ106" i="2"/>
  <c r="AK105" i="2"/>
  <c r="AJ105" i="2"/>
  <c r="AK104" i="2"/>
  <c r="AJ104" i="2"/>
  <c r="AK100" i="2"/>
  <c r="AJ100" i="2"/>
  <c r="AK97" i="2"/>
  <c r="AJ97" i="2"/>
  <c r="AL96" i="2"/>
  <c r="AK95" i="2"/>
  <c r="AJ95" i="2"/>
  <c r="AL92" i="2"/>
  <c r="AK91" i="2"/>
  <c r="AJ91" i="2"/>
  <c r="AL90" i="2"/>
  <c r="AK89" i="2"/>
  <c r="AJ89" i="2"/>
  <c r="AL88" i="2"/>
  <c r="AK87" i="2"/>
  <c r="AJ87" i="2"/>
  <c r="AK83" i="2"/>
  <c r="AJ83" i="2"/>
  <c r="AK82" i="2"/>
  <c r="AJ82" i="2"/>
  <c r="AK81" i="2"/>
  <c r="AJ81" i="2"/>
  <c r="AK80" i="2"/>
  <c r="AJ80" i="2"/>
  <c r="AK79" i="2"/>
  <c r="AJ79" i="2"/>
  <c r="AK78" i="2"/>
  <c r="AJ78" i="2"/>
  <c r="AK77" i="2"/>
  <c r="AJ77" i="2"/>
  <c r="AK76" i="2"/>
  <c r="AJ76" i="2"/>
  <c r="AK75" i="2"/>
  <c r="AJ75" i="2"/>
  <c r="AK74" i="2"/>
  <c r="AJ74" i="2"/>
  <c r="AK73" i="2"/>
  <c r="AJ73" i="2"/>
  <c r="AK72" i="2"/>
  <c r="AJ72" i="2"/>
  <c r="AK71" i="2"/>
  <c r="AJ71" i="2"/>
  <c r="AK70" i="2"/>
  <c r="AJ70" i="2"/>
  <c r="AK69" i="2"/>
  <c r="AJ69" i="2"/>
  <c r="AK68" i="2"/>
  <c r="AJ68" i="2"/>
  <c r="AK67" i="2"/>
  <c r="AJ67" i="2"/>
  <c r="AK66" i="2"/>
  <c r="AJ66" i="2"/>
  <c r="AK65" i="2"/>
  <c r="AJ65" i="2"/>
  <c r="AK64" i="2"/>
  <c r="AJ64" i="2"/>
  <c r="AK63" i="2"/>
  <c r="AJ63" i="2"/>
  <c r="AK62" i="2"/>
  <c r="AJ62" i="2"/>
  <c r="AK60" i="2"/>
  <c r="AK59" i="2"/>
  <c r="AK58" i="2"/>
  <c r="AK57" i="2"/>
  <c r="AJ57" i="2"/>
  <c r="AK56" i="2"/>
  <c r="AK55" i="2"/>
  <c r="AJ55" i="2"/>
  <c r="AK54" i="2"/>
  <c r="AK53" i="2"/>
  <c r="AK52" i="2"/>
  <c r="AJ52" i="2"/>
  <c r="AK51" i="2"/>
  <c r="AK50" i="2"/>
  <c r="AK49" i="2"/>
  <c r="AJ49" i="2"/>
  <c r="AK48" i="2"/>
  <c r="AK47" i="2"/>
  <c r="AJ47" i="2"/>
  <c r="AK44" i="2"/>
  <c r="AJ44" i="2"/>
  <c r="AK41" i="2"/>
  <c r="AJ41" i="2"/>
  <c r="AK40" i="2"/>
  <c r="AJ40" i="2"/>
  <c r="AK39" i="2"/>
  <c r="AJ39" i="2"/>
  <c r="AK38" i="2"/>
  <c r="AJ38" i="2"/>
  <c r="AK37" i="2"/>
  <c r="AJ37" i="2"/>
  <c r="AK36" i="2"/>
  <c r="AJ36" i="2"/>
  <c r="AK35" i="2"/>
  <c r="AK34" i="2"/>
  <c r="AJ34" i="2"/>
  <c r="AK33" i="2"/>
  <c r="AK32" i="2"/>
  <c r="AJ32" i="2"/>
  <c r="AK31" i="2"/>
  <c r="AJ31" i="2"/>
  <c r="AK29" i="2"/>
  <c r="AJ29" i="2"/>
  <c r="AK27" i="2"/>
  <c r="AJ27" i="2"/>
  <c r="AK26" i="2"/>
  <c r="AK25" i="2"/>
  <c r="AJ25" i="2"/>
  <c r="AK24" i="2"/>
  <c r="AJ24" i="2"/>
  <c r="AK23" i="2"/>
  <c r="AK22" i="2"/>
  <c r="AK21" i="2"/>
  <c r="AJ21" i="2"/>
  <c r="AK20" i="2"/>
  <c r="AK19" i="2"/>
  <c r="AK18" i="2"/>
  <c r="AJ18" i="2"/>
  <c r="AK16" i="2"/>
  <c r="AJ16" i="2"/>
  <c r="AK13" i="2"/>
  <c r="AJ13" i="2"/>
  <c r="AK12" i="2"/>
  <c r="AJ12" i="2"/>
  <c r="AK11" i="2"/>
  <c r="AJ11" i="2"/>
  <c r="AK8" i="2"/>
  <c r="AJ8" i="2"/>
  <c r="AK5" i="2"/>
  <c r="AJ5" i="2"/>
  <c r="AK4" i="2"/>
  <c r="AJ4" i="2"/>
  <c r="AL2" i="2"/>
  <c r="AK2" i="2"/>
  <c r="AJ2" i="2"/>
  <c r="AI2" i="2"/>
  <c r="J57" i="1"/>
  <c r="M43" i="1"/>
  <c r="AB42" i="1"/>
  <c r="R42" i="1"/>
  <c r="M42" i="1"/>
  <c r="H42" i="1"/>
  <c r="AB41" i="1"/>
  <c r="R40" i="1"/>
  <c r="M40" i="1"/>
  <c r="H39" i="1"/>
  <c r="M38" i="1"/>
  <c r="H38" i="1"/>
  <c r="AB37" i="1"/>
  <c r="W37" i="1"/>
  <c r="R37" i="1"/>
  <c r="M37" i="1"/>
  <c r="H37" i="1"/>
  <c r="W36" i="1"/>
  <c r="R36" i="1"/>
  <c r="M36" i="1"/>
  <c r="H36" i="1"/>
  <c r="AB34" i="1"/>
  <c r="W34" i="1"/>
  <c r="AB33" i="1"/>
  <c r="W33" i="1"/>
  <c r="R33" i="1"/>
  <c r="M33" i="1"/>
  <c r="H33" i="1"/>
  <c r="AB28" i="1"/>
  <c r="W28" i="1"/>
  <c r="M28" i="1"/>
  <c r="H28" i="1"/>
  <c r="W27" i="1"/>
  <c r="W24" i="1"/>
  <c r="M24" i="1"/>
  <c r="H24" i="1"/>
  <c r="W23" i="1"/>
  <c r="R23" i="1"/>
  <c r="M23" i="1"/>
  <c r="H23" i="1"/>
  <c r="W22" i="1"/>
  <c r="R22" i="1"/>
  <c r="M22" i="1"/>
  <c r="H22" i="1"/>
  <c r="AB21" i="1"/>
  <c r="W21" i="1"/>
  <c r="AB19" i="1"/>
  <c r="W19" i="1"/>
  <c r="R19" i="1"/>
  <c r="M19" i="1"/>
  <c r="H19" i="1"/>
  <c r="AB18" i="1"/>
  <c r="W18" i="1"/>
  <c r="R18" i="1"/>
  <c r="M18" i="1"/>
  <c r="H18" i="1"/>
  <c r="M17" i="1"/>
  <c r="M16" i="1"/>
  <c r="AB15" i="1"/>
  <c r="W15" i="1"/>
  <c r="M15" i="1"/>
  <c r="AB13" i="1"/>
  <c r="W13" i="1"/>
  <c r="M13" i="1"/>
  <c r="AB11" i="1"/>
  <c r="W11" i="1"/>
  <c r="R11" i="1"/>
  <c r="M11" i="1"/>
  <c r="H11" i="1"/>
  <c r="R9" i="1"/>
  <c r="M9" i="1"/>
  <c r="H9" i="1"/>
  <c r="AB8" i="1"/>
  <c r="W8" i="1"/>
  <c r="M8" i="1"/>
  <c r="H8" i="1"/>
  <c r="AF5" i="2"/>
  <c r="AE5" i="2"/>
  <c r="AA5" i="2"/>
  <c r="Z5" i="2"/>
  <c r="V5" i="2"/>
  <c r="U5" i="2"/>
  <c r="Q5" i="2"/>
  <c r="P5" i="2"/>
  <c r="M5" i="2"/>
  <c r="L5" i="2"/>
  <c r="K5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7" i="2"/>
  <c r="H88" i="2"/>
  <c r="H89" i="2"/>
  <c r="H90" i="2"/>
  <c r="H91" i="2"/>
  <c r="H92" i="2"/>
  <c r="H95" i="2"/>
  <c r="H96" i="2"/>
  <c r="H97" i="2"/>
  <c r="H100" i="2"/>
  <c r="H104" i="2"/>
  <c r="H105" i="2"/>
  <c r="H106" i="2"/>
  <c r="H108" i="2"/>
  <c r="H109" i="2"/>
  <c r="H62" i="2"/>
  <c r="AF109" i="2"/>
  <c r="AE109" i="2"/>
  <c r="AF108" i="2"/>
  <c r="AE108" i="2"/>
  <c r="AF106" i="2"/>
  <c r="AE106" i="2"/>
  <c r="AF105" i="2"/>
  <c r="AE105" i="2"/>
  <c r="AF104" i="2"/>
  <c r="AE104" i="2"/>
  <c r="AF100" i="2"/>
  <c r="AE100" i="2"/>
  <c r="AF97" i="2"/>
  <c r="AE97" i="2"/>
  <c r="AG96" i="2"/>
  <c r="AF95" i="2"/>
  <c r="AE95" i="2"/>
  <c r="AG92" i="2"/>
  <c r="AF91" i="2"/>
  <c r="AE91" i="2"/>
  <c r="AG90" i="2"/>
  <c r="AF89" i="2"/>
  <c r="AE89" i="2"/>
  <c r="AG88" i="2"/>
  <c r="AF87" i="2"/>
  <c r="AE87" i="2"/>
  <c r="AF83" i="2"/>
  <c r="AE83" i="2"/>
  <c r="AF82" i="2"/>
  <c r="AE82" i="2"/>
  <c r="AF81" i="2"/>
  <c r="AE81" i="2"/>
  <c r="AF80" i="2"/>
  <c r="AE80" i="2"/>
  <c r="AF79" i="2"/>
  <c r="AE79" i="2"/>
  <c r="AF78" i="2"/>
  <c r="AE78" i="2"/>
  <c r="AF77" i="2"/>
  <c r="AE77" i="2"/>
  <c r="AF76" i="2"/>
  <c r="AE76" i="2"/>
  <c r="AF75" i="2"/>
  <c r="AE75" i="2"/>
  <c r="AF74" i="2"/>
  <c r="AE74" i="2"/>
  <c r="AF73" i="2"/>
  <c r="AE73" i="2"/>
  <c r="AF72" i="2"/>
  <c r="AE72" i="2"/>
  <c r="AF71" i="2"/>
  <c r="AE71" i="2"/>
  <c r="AF70" i="2"/>
  <c r="AE70" i="2"/>
  <c r="AF69" i="2"/>
  <c r="AE69" i="2"/>
  <c r="AF68" i="2"/>
  <c r="AE68" i="2"/>
  <c r="AF67" i="2"/>
  <c r="AE67" i="2"/>
  <c r="AF66" i="2"/>
  <c r="AE66" i="2"/>
  <c r="AF65" i="2"/>
  <c r="AE65" i="2"/>
  <c r="AF64" i="2"/>
  <c r="AE64" i="2"/>
  <c r="AF63" i="2"/>
  <c r="AE63" i="2"/>
  <c r="AF62" i="2"/>
  <c r="AE62" i="2"/>
  <c r="AA109" i="2"/>
  <c r="Z109" i="2"/>
  <c r="AA108" i="2"/>
  <c r="Z108" i="2"/>
  <c r="AA106" i="2"/>
  <c r="Z106" i="2"/>
  <c r="AA105" i="2"/>
  <c r="Z105" i="2"/>
  <c r="AA104" i="2"/>
  <c r="Z104" i="2"/>
  <c r="AA100" i="2"/>
  <c r="Z100" i="2"/>
  <c r="AA97" i="2"/>
  <c r="Z97" i="2"/>
  <c r="AB96" i="2"/>
  <c r="AA95" i="2"/>
  <c r="Z95" i="2"/>
  <c r="AB92" i="2"/>
  <c r="AA91" i="2"/>
  <c r="Z91" i="2"/>
  <c r="AB90" i="2"/>
  <c r="AA89" i="2"/>
  <c r="Z89" i="2"/>
  <c r="AB88" i="2"/>
  <c r="AA87" i="2"/>
  <c r="Z87" i="2"/>
  <c r="AA83" i="2"/>
  <c r="Z83" i="2"/>
  <c r="AA82" i="2"/>
  <c r="Z82" i="2"/>
  <c r="AA81" i="2"/>
  <c r="Z81" i="2"/>
  <c r="AA80" i="2"/>
  <c r="Z80" i="2"/>
  <c r="AA79" i="2"/>
  <c r="Z79" i="2"/>
  <c r="AA78" i="2"/>
  <c r="Z78" i="2"/>
  <c r="AA77" i="2"/>
  <c r="Z77" i="2"/>
  <c r="AA76" i="2"/>
  <c r="Z76" i="2"/>
  <c r="AA75" i="2"/>
  <c r="Z75" i="2"/>
  <c r="AA74" i="2"/>
  <c r="Z74" i="2"/>
  <c r="AA73" i="2"/>
  <c r="Z73" i="2"/>
  <c r="AA72" i="2"/>
  <c r="Z72" i="2"/>
  <c r="AA71" i="2"/>
  <c r="Z71" i="2"/>
  <c r="AA70" i="2"/>
  <c r="Z70" i="2"/>
  <c r="AA69" i="2"/>
  <c r="Z69" i="2"/>
  <c r="AA68" i="2"/>
  <c r="Z68" i="2"/>
  <c r="AA67" i="2"/>
  <c r="Z67" i="2"/>
  <c r="AA66" i="2"/>
  <c r="Z66" i="2"/>
  <c r="AA65" i="2"/>
  <c r="Z65" i="2"/>
  <c r="AA64" i="2"/>
  <c r="Z64" i="2"/>
  <c r="AA63" i="2"/>
  <c r="Z63" i="2"/>
  <c r="AA62" i="2"/>
  <c r="Z62" i="2"/>
  <c r="V109" i="2"/>
  <c r="U109" i="2"/>
  <c r="V108" i="2"/>
  <c r="U108" i="2"/>
  <c r="V106" i="2"/>
  <c r="U106" i="2"/>
  <c r="V105" i="2"/>
  <c r="U105" i="2"/>
  <c r="V104" i="2"/>
  <c r="U104" i="2"/>
  <c r="V100" i="2"/>
  <c r="U100" i="2"/>
  <c r="V97" i="2"/>
  <c r="U97" i="2"/>
  <c r="W96" i="2"/>
  <c r="V95" i="2"/>
  <c r="U95" i="2"/>
  <c r="W92" i="2"/>
  <c r="V91" i="2"/>
  <c r="U91" i="2"/>
  <c r="W90" i="2"/>
  <c r="V89" i="2"/>
  <c r="U89" i="2"/>
  <c r="W88" i="2"/>
  <c r="V87" i="2"/>
  <c r="U87" i="2"/>
  <c r="V83" i="2"/>
  <c r="U83" i="2"/>
  <c r="V82" i="2"/>
  <c r="U82" i="2"/>
  <c r="V81" i="2"/>
  <c r="U81" i="2"/>
  <c r="V80" i="2"/>
  <c r="U80" i="2"/>
  <c r="V79" i="2"/>
  <c r="U79" i="2"/>
  <c r="V78" i="2"/>
  <c r="U78" i="2"/>
  <c r="V77" i="2"/>
  <c r="U77" i="2"/>
  <c r="V76" i="2"/>
  <c r="U76" i="2"/>
  <c r="V75" i="2"/>
  <c r="U75" i="2"/>
  <c r="V74" i="2"/>
  <c r="U74" i="2"/>
  <c r="V73" i="2"/>
  <c r="U73" i="2"/>
  <c r="V72" i="2"/>
  <c r="U72" i="2"/>
  <c r="V71" i="2"/>
  <c r="U71" i="2"/>
  <c r="V70" i="2"/>
  <c r="U70" i="2"/>
  <c r="V69" i="2"/>
  <c r="U69" i="2"/>
  <c r="V68" i="2"/>
  <c r="U68" i="2"/>
  <c r="V67" i="2"/>
  <c r="U67" i="2"/>
  <c r="V66" i="2"/>
  <c r="U66" i="2"/>
  <c r="V65" i="2"/>
  <c r="U65" i="2"/>
  <c r="V64" i="2"/>
  <c r="U64" i="2"/>
  <c r="V63" i="2"/>
  <c r="U63" i="2"/>
  <c r="V62" i="2"/>
  <c r="U62" i="2"/>
  <c r="Q109" i="2"/>
  <c r="P109" i="2"/>
  <c r="Q108" i="2"/>
  <c r="P108" i="2"/>
  <c r="Q106" i="2"/>
  <c r="P106" i="2"/>
  <c r="Q105" i="2"/>
  <c r="P105" i="2"/>
  <c r="Q104" i="2"/>
  <c r="P104" i="2"/>
  <c r="Q100" i="2"/>
  <c r="P100" i="2"/>
  <c r="Q97" i="2"/>
  <c r="P97" i="2"/>
  <c r="R96" i="2"/>
  <c r="Q95" i="2"/>
  <c r="P95" i="2"/>
  <c r="R92" i="2"/>
  <c r="Q91" i="2"/>
  <c r="P91" i="2"/>
  <c r="R90" i="2"/>
  <c r="Q89" i="2"/>
  <c r="P89" i="2"/>
  <c r="R88" i="2"/>
  <c r="Q87" i="2"/>
  <c r="P87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L109" i="2"/>
  <c r="K109" i="2"/>
  <c r="D109" i="2"/>
  <c r="C109" i="2"/>
  <c r="L95" i="2"/>
  <c r="K95" i="2"/>
  <c r="L91" i="2"/>
  <c r="K91" i="2"/>
  <c r="L89" i="2"/>
  <c r="K89" i="2"/>
  <c r="L87" i="2"/>
  <c r="K87" i="2"/>
  <c r="M96" i="2"/>
  <c r="K97" i="2"/>
  <c r="L97" i="2"/>
  <c r="M97" i="2"/>
  <c r="K100" i="2"/>
  <c r="L100" i="2"/>
  <c r="M100" i="2"/>
  <c r="K104" i="2"/>
  <c r="L104" i="2"/>
  <c r="M104" i="2"/>
  <c r="K105" i="2"/>
  <c r="L105" i="2"/>
  <c r="M105" i="2"/>
  <c r="K106" i="2"/>
  <c r="L106" i="2"/>
  <c r="M106" i="2"/>
  <c r="K108" i="2"/>
  <c r="L108" i="2"/>
  <c r="M108" i="2"/>
  <c r="C95" i="2"/>
  <c r="D95" i="2"/>
  <c r="C96" i="2"/>
  <c r="D96" i="2"/>
  <c r="C97" i="2"/>
  <c r="D97" i="2"/>
  <c r="C100" i="2"/>
  <c r="D100" i="2"/>
  <c r="C104" i="2"/>
  <c r="D104" i="2"/>
  <c r="C105" i="2"/>
  <c r="D105" i="2"/>
  <c r="C106" i="2"/>
  <c r="D106" i="2"/>
  <c r="C108" i="2"/>
  <c r="D108" i="2"/>
  <c r="A108" i="2"/>
  <c r="A95" i="2"/>
  <c r="A96" i="2"/>
  <c r="A97" i="2"/>
  <c r="A100" i="2"/>
  <c r="A104" i="2"/>
  <c r="A105" i="2"/>
  <c r="A106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7" i="2"/>
  <c r="A88" i="2"/>
  <c r="A89" i="2"/>
  <c r="A90" i="2"/>
  <c r="A91" i="2"/>
  <c r="A92" i="2"/>
  <c r="A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7" i="2"/>
  <c r="D87" i="2"/>
  <c r="C88" i="2"/>
  <c r="D88" i="2"/>
  <c r="C89" i="2"/>
  <c r="D89" i="2"/>
  <c r="C90" i="2"/>
  <c r="D90" i="2"/>
  <c r="C91" i="2"/>
  <c r="D91" i="2"/>
  <c r="C92" i="2"/>
  <c r="D92" i="2"/>
  <c r="D62" i="2"/>
  <c r="C62" i="2"/>
  <c r="K63" i="2"/>
  <c r="L63" i="2"/>
  <c r="M63" i="2"/>
  <c r="K64" i="2"/>
  <c r="L64" i="2"/>
  <c r="M64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M88" i="2"/>
  <c r="M90" i="2"/>
  <c r="M92" i="2"/>
  <c r="L62" i="2"/>
  <c r="K62" i="2"/>
  <c r="AF60" i="2"/>
  <c r="AF59" i="2"/>
  <c r="AF58" i="2"/>
  <c r="AF57" i="2"/>
  <c r="AE57" i="2"/>
  <c r="AF56" i="2"/>
  <c r="AF55" i="2"/>
  <c r="AE55" i="2"/>
  <c r="AF54" i="2"/>
  <c r="AF53" i="2"/>
  <c r="AF52" i="2"/>
  <c r="AE52" i="2"/>
  <c r="AF51" i="2"/>
  <c r="AF50" i="2"/>
  <c r="AF49" i="2"/>
  <c r="AE49" i="2"/>
  <c r="AF48" i="2"/>
  <c r="AF47" i="2"/>
  <c r="AE47" i="2"/>
  <c r="AF44" i="2"/>
  <c r="AE44" i="2"/>
  <c r="AF41" i="2"/>
  <c r="AE41" i="2"/>
  <c r="AF40" i="2"/>
  <c r="AE40" i="2"/>
  <c r="AF39" i="2"/>
  <c r="AE39" i="2"/>
  <c r="AF38" i="2"/>
  <c r="AE38" i="2"/>
  <c r="AF37" i="2"/>
  <c r="AE37" i="2"/>
  <c r="AF36" i="2"/>
  <c r="AE36" i="2"/>
  <c r="AF35" i="2"/>
  <c r="AF34" i="2"/>
  <c r="AE34" i="2"/>
  <c r="AF33" i="2"/>
  <c r="AF32" i="2"/>
  <c r="AE32" i="2"/>
  <c r="AF31" i="2"/>
  <c r="AE31" i="2"/>
  <c r="AF29" i="2"/>
  <c r="AE29" i="2"/>
  <c r="AF27" i="2"/>
  <c r="AE27" i="2"/>
  <c r="AF26" i="2"/>
  <c r="AF25" i="2"/>
  <c r="AE25" i="2"/>
  <c r="AF24" i="2"/>
  <c r="AE24" i="2"/>
  <c r="AF23" i="2"/>
  <c r="AF22" i="2"/>
  <c r="AF21" i="2"/>
  <c r="AE21" i="2"/>
  <c r="AF20" i="2"/>
  <c r="AF19" i="2"/>
  <c r="AF18" i="2"/>
  <c r="AE18" i="2"/>
  <c r="AF16" i="2"/>
  <c r="AE16" i="2"/>
  <c r="AF13" i="2"/>
  <c r="AE13" i="2"/>
  <c r="AF12" i="2"/>
  <c r="AE12" i="2"/>
  <c r="AF11" i="2"/>
  <c r="AE11" i="2"/>
  <c r="AF8" i="2"/>
  <c r="AE8" i="2"/>
  <c r="AF4" i="2"/>
  <c r="AE4" i="2"/>
  <c r="AA60" i="2"/>
  <c r="AA59" i="2"/>
  <c r="AA58" i="2"/>
  <c r="AA57" i="2"/>
  <c r="Z57" i="2"/>
  <c r="AA56" i="2"/>
  <c r="AA55" i="2"/>
  <c r="Z55" i="2"/>
  <c r="AA54" i="2"/>
  <c r="AA53" i="2"/>
  <c r="AA52" i="2"/>
  <c r="Z52" i="2"/>
  <c r="AA51" i="2"/>
  <c r="AA50" i="2"/>
  <c r="AA49" i="2"/>
  <c r="Z49" i="2"/>
  <c r="AA48" i="2"/>
  <c r="AA47" i="2"/>
  <c r="Z47" i="2"/>
  <c r="AA44" i="2"/>
  <c r="Z44" i="2"/>
  <c r="AA41" i="2"/>
  <c r="Z41" i="2"/>
  <c r="AA40" i="2"/>
  <c r="Z40" i="2"/>
  <c r="AA39" i="2"/>
  <c r="Z39" i="2"/>
  <c r="AA38" i="2"/>
  <c r="Z38" i="2"/>
  <c r="AA37" i="2"/>
  <c r="Z37" i="2"/>
  <c r="AA36" i="2"/>
  <c r="Z36" i="2"/>
  <c r="AA35" i="2"/>
  <c r="AA34" i="2"/>
  <c r="Z34" i="2"/>
  <c r="AA33" i="2"/>
  <c r="AA32" i="2"/>
  <c r="Z32" i="2"/>
  <c r="AA31" i="2"/>
  <c r="Z31" i="2"/>
  <c r="AA29" i="2"/>
  <c r="Z29" i="2"/>
  <c r="AA27" i="2"/>
  <c r="Z27" i="2"/>
  <c r="AA26" i="2"/>
  <c r="AA25" i="2"/>
  <c r="Z25" i="2"/>
  <c r="AA24" i="2"/>
  <c r="Z24" i="2"/>
  <c r="AA23" i="2"/>
  <c r="AA22" i="2"/>
  <c r="AA21" i="2"/>
  <c r="Z21" i="2"/>
  <c r="AA20" i="2"/>
  <c r="AA19" i="2"/>
  <c r="AA18" i="2"/>
  <c r="Z18" i="2"/>
  <c r="AA16" i="2"/>
  <c r="Z16" i="2"/>
  <c r="AA13" i="2"/>
  <c r="Z13" i="2"/>
  <c r="AA12" i="2"/>
  <c r="Z12" i="2"/>
  <c r="AA11" i="2"/>
  <c r="Z11" i="2"/>
  <c r="AA8" i="2"/>
  <c r="Z8" i="2"/>
  <c r="AA4" i="2"/>
  <c r="Z4" i="2"/>
  <c r="V60" i="2"/>
  <c r="V59" i="2"/>
  <c r="V58" i="2"/>
  <c r="V57" i="2"/>
  <c r="U57" i="2"/>
  <c r="V56" i="2"/>
  <c r="V55" i="2"/>
  <c r="U55" i="2"/>
  <c r="V54" i="2"/>
  <c r="V53" i="2"/>
  <c r="V52" i="2"/>
  <c r="U52" i="2"/>
  <c r="V51" i="2"/>
  <c r="V50" i="2"/>
  <c r="V49" i="2"/>
  <c r="U49" i="2"/>
  <c r="V48" i="2"/>
  <c r="V47" i="2"/>
  <c r="U47" i="2"/>
  <c r="V44" i="2"/>
  <c r="U44" i="2"/>
  <c r="V41" i="2"/>
  <c r="U41" i="2"/>
  <c r="V40" i="2"/>
  <c r="U40" i="2"/>
  <c r="V39" i="2"/>
  <c r="U39" i="2"/>
  <c r="V38" i="2"/>
  <c r="U38" i="2"/>
  <c r="V37" i="2"/>
  <c r="U37" i="2"/>
  <c r="V36" i="2"/>
  <c r="U36" i="2"/>
  <c r="V35" i="2"/>
  <c r="V34" i="2"/>
  <c r="U34" i="2"/>
  <c r="V33" i="2"/>
  <c r="V32" i="2"/>
  <c r="U32" i="2"/>
  <c r="V31" i="2"/>
  <c r="U31" i="2"/>
  <c r="V29" i="2"/>
  <c r="U29" i="2"/>
  <c r="V27" i="2"/>
  <c r="U27" i="2"/>
  <c r="V26" i="2"/>
  <c r="V25" i="2"/>
  <c r="U25" i="2"/>
  <c r="V24" i="2"/>
  <c r="U24" i="2"/>
  <c r="V23" i="2"/>
  <c r="V22" i="2"/>
  <c r="V21" i="2"/>
  <c r="U21" i="2"/>
  <c r="V20" i="2"/>
  <c r="V19" i="2"/>
  <c r="V18" i="2"/>
  <c r="U18" i="2"/>
  <c r="V16" i="2"/>
  <c r="U16" i="2"/>
  <c r="V13" i="2"/>
  <c r="U13" i="2"/>
  <c r="V12" i="2"/>
  <c r="U12" i="2"/>
  <c r="V11" i="2"/>
  <c r="U11" i="2"/>
  <c r="V8" i="2"/>
  <c r="U8" i="2"/>
  <c r="V4" i="2"/>
  <c r="U4" i="2"/>
  <c r="Q60" i="2"/>
  <c r="Q59" i="2"/>
  <c r="Q58" i="2"/>
  <c r="Q57" i="2"/>
  <c r="P57" i="2"/>
  <c r="Q56" i="2"/>
  <c r="Q55" i="2"/>
  <c r="P55" i="2"/>
  <c r="Q54" i="2"/>
  <c r="Q53" i="2"/>
  <c r="Q52" i="2"/>
  <c r="P52" i="2"/>
  <c r="Q51" i="2"/>
  <c r="Q50" i="2"/>
  <c r="Q49" i="2"/>
  <c r="P49" i="2"/>
  <c r="Q48" i="2"/>
  <c r="Q47" i="2"/>
  <c r="P47" i="2"/>
  <c r="Q44" i="2"/>
  <c r="P44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Q34" i="2"/>
  <c r="P34" i="2"/>
  <c r="Q33" i="2"/>
  <c r="Q32" i="2"/>
  <c r="P32" i="2"/>
  <c r="Q31" i="2"/>
  <c r="P31" i="2"/>
  <c r="Q29" i="2"/>
  <c r="P29" i="2"/>
  <c r="Q27" i="2"/>
  <c r="P27" i="2"/>
  <c r="Q26" i="2"/>
  <c r="Q25" i="2"/>
  <c r="P25" i="2"/>
  <c r="Q24" i="2"/>
  <c r="P24" i="2"/>
  <c r="Q23" i="2"/>
  <c r="Q22" i="2"/>
  <c r="Q21" i="2"/>
  <c r="P21" i="2"/>
  <c r="Q20" i="2"/>
  <c r="Q19" i="2"/>
  <c r="Q18" i="2"/>
  <c r="P18" i="2"/>
  <c r="Q16" i="2"/>
  <c r="P16" i="2"/>
  <c r="Q13" i="2"/>
  <c r="P13" i="2"/>
  <c r="Q12" i="2"/>
  <c r="P12" i="2"/>
  <c r="Q11" i="2"/>
  <c r="P11" i="2"/>
  <c r="Q8" i="2"/>
  <c r="P8" i="2"/>
  <c r="Q4" i="2"/>
  <c r="P4" i="2"/>
  <c r="L55" i="2"/>
  <c r="K55" i="2"/>
  <c r="L47" i="2"/>
  <c r="K47" i="2"/>
  <c r="L38" i="2"/>
  <c r="K38" i="2"/>
  <c r="L34" i="2"/>
  <c r="K34" i="2"/>
  <c r="L32" i="2"/>
  <c r="K32" i="2"/>
  <c r="L29" i="2"/>
  <c r="K29" i="2"/>
  <c r="L27" i="2"/>
  <c r="K27" i="2"/>
  <c r="L25" i="2"/>
  <c r="K25" i="2"/>
  <c r="L40" i="2"/>
  <c r="K40" i="2"/>
  <c r="L37" i="2"/>
  <c r="K37" i="2"/>
  <c r="L36" i="2"/>
  <c r="K36" i="2"/>
  <c r="L31" i="2"/>
  <c r="K31" i="2"/>
  <c r="L24" i="2"/>
  <c r="K24" i="2"/>
  <c r="L12" i="2"/>
  <c r="K12" i="2"/>
  <c r="L11" i="2"/>
  <c r="K11" i="2"/>
  <c r="K57" i="2"/>
  <c r="L57" i="2"/>
  <c r="L52" i="2"/>
  <c r="K52" i="2"/>
  <c r="L49" i="2"/>
  <c r="K49" i="2"/>
  <c r="L44" i="2"/>
  <c r="K44" i="2"/>
  <c r="L41" i="2"/>
  <c r="K41" i="2"/>
  <c r="L21" i="2"/>
  <c r="K21" i="2"/>
  <c r="L18" i="2"/>
  <c r="K18" i="2"/>
  <c r="L13" i="2"/>
  <c r="K13" i="2"/>
  <c r="K16" i="2"/>
  <c r="L16" i="2"/>
  <c r="L8" i="2"/>
  <c r="T108" i="1"/>
  <c r="AN107" i="1"/>
  <c r="AM107" i="1"/>
  <c r="AL107" i="1"/>
  <c r="AI107" i="1"/>
  <c r="AH107" i="1"/>
  <c r="AG107" i="1"/>
  <c r="AB107" i="1"/>
  <c r="X107" i="1"/>
  <c r="W107" i="1"/>
  <c r="R107" i="1"/>
  <c r="M107" i="1"/>
  <c r="H107" i="1"/>
  <c r="AD105" i="1"/>
  <c r="AD107" i="1" s="1"/>
  <c r="AC105" i="1"/>
  <c r="AC107" i="1" s="1"/>
  <c r="Y105" i="1"/>
  <c r="Y107" i="1" s="1"/>
  <c r="T105" i="1"/>
  <c r="T107" i="1" s="1"/>
  <c r="S105" i="1"/>
  <c r="S107" i="1" s="1"/>
  <c r="O105" i="1"/>
  <c r="O107" i="1" s="1"/>
  <c r="N105" i="1"/>
  <c r="J105" i="1"/>
  <c r="J107" i="1" s="1"/>
  <c r="I105" i="1"/>
  <c r="I107" i="1" s="1"/>
  <c r="N104" i="1"/>
  <c r="N107" i="1" s="1"/>
  <c r="AN101" i="1"/>
  <c r="AM101" i="1"/>
  <c r="AL101" i="1"/>
  <c r="AI101" i="1"/>
  <c r="AH101" i="1"/>
  <c r="AG101" i="1"/>
  <c r="AD101" i="1"/>
  <c r="AC101" i="1"/>
  <c r="AB101" i="1"/>
  <c r="Y101" i="1"/>
  <c r="X101" i="1"/>
  <c r="W101" i="1"/>
  <c r="T101" i="1"/>
  <c r="S101" i="1"/>
  <c r="R101" i="1"/>
  <c r="O101" i="1"/>
  <c r="N101" i="1"/>
  <c r="M101" i="1"/>
  <c r="J101" i="1"/>
  <c r="I101" i="1"/>
  <c r="H101" i="1"/>
  <c r="AN98" i="1"/>
  <c r="AM98" i="1"/>
  <c r="AL98" i="1"/>
  <c r="AI98" i="1"/>
  <c r="AH98" i="1"/>
  <c r="AG98" i="1"/>
  <c r="AD98" i="1"/>
  <c r="AC98" i="1"/>
  <c r="AB98" i="1"/>
  <c r="Y98" i="1"/>
  <c r="X98" i="1"/>
  <c r="W98" i="1"/>
  <c r="T98" i="1"/>
  <c r="S98" i="1"/>
  <c r="R98" i="1"/>
  <c r="O98" i="1"/>
  <c r="M98" i="1"/>
  <c r="J98" i="1"/>
  <c r="I98" i="1"/>
  <c r="H98" i="1"/>
  <c r="N95" i="1"/>
  <c r="N98" i="1" s="1"/>
  <c r="G95" i="1"/>
  <c r="AN93" i="1"/>
  <c r="AM93" i="1"/>
  <c r="AL93" i="1"/>
  <c r="AI93" i="1"/>
  <c r="AH93" i="1"/>
  <c r="AG93" i="1"/>
  <c r="AD93" i="1"/>
  <c r="AC93" i="1"/>
  <c r="AB93" i="1"/>
  <c r="Y93" i="1"/>
  <c r="X93" i="1"/>
  <c r="W93" i="1"/>
  <c r="T93" i="1"/>
  <c r="S93" i="1"/>
  <c r="R93" i="1"/>
  <c r="O93" i="1"/>
  <c r="N93" i="1"/>
  <c r="M93" i="1"/>
  <c r="J93" i="1"/>
  <c r="I93" i="1"/>
  <c r="H93" i="1"/>
  <c r="G92" i="1"/>
  <c r="G91" i="1"/>
  <c r="G89" i="1"/>
  <c r="G88" i="1"/>
  <c r="G87" i="1"/>
  <c r="AN85" i="1"/>
  <c r="AM85" i="1"/>
  <c r="AL85" i="1"/>
  <c r="AI85" i="1"/>
  <c r="AH85" i="1"/>
  <c r="AG85" i="1"/>
  <c r="AD85" i="1"/>
  <c r="AC85" i="1"/>
  <c r="AB85" i="1"/>
  <c r="Y85" i="1"/>
  <c r="X85" i="1"/>
  <c r="T85" i="1"/>
  <c r="S85" i="1"/>
  <c r="R85" i="1"/>
  <c r="J85" i="1"/>
  <c r="G80" i="1"/>
  <c r="G79" i="1"/>
  <c r="G78" i="1"/>
  <c r="G77" i="1"/>
  <c r="G76" i="1"/>
  <c r="G75" i="1"/>
  <c r="N72" i="1"/>
  <c r="I72" i="1"/>
  <c r="G72" i="1"/>
  <c r="W70" i="1"/>
  <c r="W85" i="1" s="1"/>
  <c r="M70" i="1"/>
  <c r="M85" i="1" s="1"/>
  <c r="H70" i="1"/>
  <c r="H85" i="1" s="1"/>
  <c r="G70" i="1"/>
  <c r="G69" i="1"/>
  <c r="G68" i="1"/>
  <c r="N67" i="1"/>
  <c r="I67" i="1"/>
  <c r="I85" i="1" s="1"/>
  <c r="G67" i="1"/>
  <c r="G66" i="1"/>
  <c r="G65" i="1"/>
  <c r="O64" i="1"/>
  <c r="O85" i="1" s="1"/>
  <c r="N64" i="1"/>
  <c r="N85" i="1" s="1"/>
  <c r="G64" i="1"/>
  <c r="G63" i="1"/>
  <c r="G62" i="1"/>
  <c r="AG2" i="2"/>
  <c r="AF2" i="2"/>
  <c r="AE2" i="2"/>
  <c r="AD2" i="2"/>
  <c r="AB2" i="2"/>
  <c r="AA2" i="2"/>
  <c r="Z2" i="2"/>
  <c r="Y2" i="2"/>
  <c r="W2" i="2"/>
  <c r="V2" i="2"/>
  <c r="U2" i="2"/>
  <c r="T2" i="2"/>
  <c r="R2" i="2"/>
  <c r="Q2" i="2"/>
  <c r="P2" i="2"/>
  <c r="O2" i="2"/>
  <c r="M2" i="2"/>
  <c r="L2" i="2"/>
  <c r="K2" i="2"/>
  <c r="J2" i="2"/>
  <c r="K39" i="2"/>
  <c r="L19" i="2"/>
  <c r="L20" i="2"/>
  <c r="L22" i="2"/>
  <c r="L23" i="2"/>
  <c r="L26" i="2"/>
  <c r="L33" i="2"/>
  <c r="L35" i="2"/>
  <c r="L39" i="2"/>
  <c r="L48" i="2"/>
  <c r="L50" i="2"/>
  <c r="L51" i="2"/>
  <c r="L53" i="2"/>
  <c r="L54" i="2"/>
  <c r="L56" i="2"/>
  <c r="L58" i="2"/>
  <c r="L59" i="2"/>
  <c r="L60" i="2"/>
  <c r="K8" i="2"/>
  <c r="K4" i="2" s="1"/>
  <c r="A58" i="2"/>
  <c r="C58" i="2"/>
  <c r="D58" i="2"/>
  <c r="H58" i="2"/>
  <c r="A59" i="2"/>
  <c r="C59" i="2"/>
  <c r="D59" i="2"/>
  <c r="H59" i="2"/>
  <c r="A60" i="2"/>
  <c r="C60" i="2"/>
  <c r="D60" i="2"/>
  <c r="H60" i="2"/>
  <c r="A54" i="2"/>
  <c r="C54" i="2"/>
  <c r="D54" i="2"/>
  <c r="H54" i="2"/>
  <c r="A55" i="2"/>
  <c r="C55" i="2"/>
  <c r="D55" i="2"/>
  <c r="H55" i="2"/>
  <c r="A56" i="2"/>
  <c r="C56" i="2"/>
  <c r="D56" i="2"/>
  <c r="H56" i="2"/>
  <c r="A57" i="2"/>
  <c r="C57" i="2"/>
  <c r="D57" i="2"/>
  <c r="H57" i="2"/>
  <c r="A48" i="2"/>
  <c r="C48" i="2"/>
  <c r="D48" i="2"/>
  <c r="H48" i="2"/>
  <c r="A49" i="2"/>
  <c r="C49" i="2"/>
  <c r="D49" i="2"/>
  <c r="H49" i="2"/>
  <c r="A50" i="2"/>
  <c r="C50" i="2"/>
  <c r="D50" i="2"/>
  <c r="H50" i="2"/>
  <c r="A51" i="2"/>
  <c r="C51" i="2"/>
  <c r="D51" i="2"/>
  <c r="H51" i="2"/>
  <c r="A52" i="2"/>
  <c r="C52" i="2"/>
  <c r="D52" i="2"/>
  <c r="H52" i="2"/>
  <c r="A53" i="2"/>
  <c r="C53" i="2"/>
  <c r="D53" i="2"/>
  <c r="H53" i="2"/>
  <c r="A9" i="2"/>
  <c r="C9" i="2"/>
  <c r="D9" i="2"/>
  <c r="H9" i="2"/>
  <c r="A10" i="2"/>
  <c r="C10" i="2"/>
  <c r="D10" i="2"/>
  <c r="H10" i="2"/>
  <c r="A11" i="2"/>
  <c r="C11" i="2"/>
  <c r="D11" i="2"/>
  <c r="H11" i="2"/>
  <c r="A12" i="2"/>
  <c r="C12" i="2"/>
  <c r="D12" i="2"/>
  <c r="H12" i="2"/>
  <c r="A13" i="2"/>
  <c r="C13" i="2"/>
  <c r="D13" i="2"/>
  <c r="H13" i="2"/>
  <c r="A14" i="2"/>
  <c r="C14" i="2"/>
  <c r="D14" i="2"/>
  <c r="H14" i="2"/>
  <c r="A15" i="2"/>
  <c r="C15" i="2"/>
  <c r="D15" i="2"/>
  <c r="H15" i="2"/>
  <c r="A16" i="2"/>
  <c r="C16" i="2"/>
  <c r="D16" i="2"/>
  <c r="H16" i="2"/>
  <c r="A17" i="2"/>
  <c r="C17" i="2"/>
  <c r="D17" i="2"/>
  <c r="H17" i="2"/>
  <c r="A18" i="2"/>
  <c r="C18" i="2"/>
  <c r="D18" i="2"/>
  <c r="H18" i="2"/>
  <c r="A19" i="2"/>
  <c r="C19" i="2"/>
  <c r="D19" i="2"/>
  <c r="H19" i="2"/>
  <c r="A20" i="2"/>
  <c r="C20" i="2"/>
  <c r="D20" i="2"/>
  <c r="H20" i="2"/>
  <c r="A21" i="2"/>
  <c r="C21" i="2"/>
  <c r="D21" i="2"/>
  <c r="H21" i="2"/>
  <c r="A22" i="2"/>
  <c r="C22" i="2"/>
  <c r="D22" i="2"/>
  <c r="H22" i="2"/>
  <c r="A23" i="2"/>
  <c r="C23" i="2"/>
  <c r="D23" i="2"/>
  <c r="H23" i="2"/>
  <c r="A24" i="2"/>
  <c r="C24" i="2"/>
  <c r="D24" i="2"/>
  <c r="H24" i="2"/>
  <c r="A25" i="2"/>
  <c r="C25" i="2"/>
  <c r="D25" i="2"/>
  <c r="H25" i="2"/>
  <c r="A26" i="2"/>
  <c r="C26" i="2"/>
  <c r="D26" i="2"/>
  <c r="H26" i="2"/>
  <c r="A27" i="2"/>
  <c r="C27" i="2"/>
  <c r="D27" i="2"/>
  <c r="H27" i="2"/>
  <c r="A28" i="2"/>
  <c r="C28" i="2"/>
  <c r="D28" i="2"/>
  <c r="H28" i="2"/>
  <c r="A29" i="2"/>
  <c r="C29" i="2"/>
  <c r="D29" i="2"/>
  <c r="H29" i="2"/>
  <c r="A30" i="2"/>
  <c r="C30" i="2"/>
  <c r="D30" i="2"/>
  <c r="H30" i="2"/>
  <c r="A31" i="2"/>
  <c r="C31" i="2"/>
  <c r="D31" i="2"/>
  <c r="H31" i="2"/>
  <c r="A32" i="2"/>
  <c r="C32" i="2"/>
  <c r="D32" i="2"/>
  <c r="H32" i="2"/>
  <c r="A33" i="2"/>
  <c r="C33" i="2"/>
  <c r="D33" i="2"/>
  <c r="H33" i="2"/>
  <c r="A34" i="2"/>
  <c r="C34" i="2"/>
  <c r="D34" i="2"/>
  <c r="H34" i="2"/>
  <c r="A35" i="2"/>
  <c r="C35" i="2"/>
  <c r="D35" i="2"/>
  <c r="H35" i="2"/>
  <c r="A36" i="2"/>
  <c r="C36" i="2"/>
  <c r="D36" i="2"/>
  <c r="H36" i="2"/>
  <c r="A37" i="2"/>
  <c r="C37" i="2"/>
  <c r="D37" i="2"/>
  <c r="H37" i="2"/>
  <c r="A38" i="2"/>
  <c r="C38" i="2"/>
  <c r="D38" i="2"/>
  <c r="H38" i="2"/>
  <c r="A39" i="2"/>
  <c r="C39" i="2"/>
  <c r="D39" i="2"/>
  <c r="H39" i="2"/>
  <c r="A40" i="2"/>
  <c r="C40" i="2"/>
  <c r="D40" i="2"/>
  <c r="H40" i="2"/>
  <c r="A41" i="2"/>
  <c r="C41" i="2"/>
  <c r="D41" i="2"/>
  <c r="H41" i="2"/>
  <c r="A42" i="2"/>
  <c r="C42" i="2"/>
  <c r="D42" i="2"/>
  <c r="H42" i="2"/>
  <c r="A43" i="2"/>
  <c r="C43" i="2"/>
  <c r="D43" i="2"/>
  <c r="H43" i="2"/>
  <c r="A44" i="2"/>
  <c r="C44" i="2"/>
  <c r="D44" i="2"/>
  <c r="H44" i="2"/>
  <c r="A45" i="2"/>
  <c r="C45" i="2"/>
  <c r="D45" i="2"/>
  <c r="H45" i="2"/>
  <c r="A46" i="2"/>
  <c r="C46" i="2"/>
  <c r="D46" i="2"/>
  <c r="H46" i="2"/>
  <c r="A47" i="2"/>
  <c r="C47" i="2"/>
  <c r="D47" i="2"/>
  <c r="H47" i="2"/>
  <c r="D2" i="2"/>
  <c r="C3" i="2"/>
  <c r="A3" i="2"/>
  <c r="H3" i="2"/>
  <c r="H8" i="2"/>
  <c r="D8" i="2"/>
  <c r="C8" i="2"/>
  <c r="A8" i="2"/>
  <c r="AE4" i="1"/>
  <c r="AD4" i="1"/>
  <c r="AC4" i="1"/>
  <c r="AB4" i="1"/>
  <c r="Z4" i="1"/>
  <c r="Y4" i="1"/>
  <c r="X4" i="1"/>
  <c r="W4" i="1"/>
  <c r="U4" i="1"/>
  <c r="T4" i="1"/>
  <c r="S4" i="1"/>
  <c r="R4" i="1"/>
  <c r="P4" i="1"/>
  <c r="O4" i="1"/>
  <c r="N4" i="1"/>
  <c r="M4" i="1"/>
  <c r="K4" i="1"/>
  <c r="J4" i="1"/>
  <c r="I4" i="1"/>
  <c r="H4" i="1"/>
  <c r="AL4" i="2" l="1"/>
  <c r="AL5" i="2"/>
  <c r="AL8" i="2"/>
  <c r="AL11" i="2"/>
  <c r="AL12" i="2"/>
  <c r="AL13" i="2"/>
  <c r="AL16" i="2"/>
  <c r="AL18" i="2"/>
  <c r="AL21" i="2"/>
  <c r="AL24" i="2"/>
  <c r="AL25" i="2"/>
  <c r="AL27" i="2"/>
  <c r="AL29" i="2"/>
  <c r="AL31" i="2"/>
  <c r="AL32" i="2"/>
  <c r="AL34" i="2"/>
  <c r="AL36" i="2"/>
  <c r="AL37" i="2"/>
  <c r="AL38" i="2"/>
  <c r="AL40" i="2"/>
  <c r="AL41" i="2"/>
  <c r="AL44" i="2"/>
  <c r="AL47" i="2"/>
  <c r="AL49" i="2"/>
  <c r="AL52" i="2"/>
  <c r="AL55" i="2"/>
  <c r="AL57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7" i="2"/>
  <c r="AL89" i="2"/>
  <c r="AL91" i="2"/>
  <c r="AL95" i="2"/>
  <c r="AL97" i="2"/>
  <c r="AL100" i="2"/>
  <c r="AL104" i="2"/>
  <c r="AL105" i="2"/>
  <c r="AL106" i="2"/>
  <c r="AL108" i="2"/>
  <c r="AL109" i="2"/>
  <c r="AG5" i="2"/>
  <c r="AB5" i="2"/>
  <c r="W5" i="2"/>
  <c r="R5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7" i="2"/>
  <c r="AG89" i="2"/>
  <c r="AG91" i="2"/>
  <c r="AG95" i="2"/>
  <c r="AG97" i="2"/>
  <c r="AG100" i="2"/>
  <c r="AG104" i="2"/>
  <c r="AG105" i="2"/>
  <c r="AG106" i="2"/>
  <c r="AG108" i="2"/>
  <c r="AG109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7" i="2"/>
  <c r="AB89" i="2"/>
  <c r="AB91" i="2"/>
  <c r="AB95" i="2"/>
  <c r="AB97" i="2"/>
  <c r="AB100" i="2"/>
  <c r="AB104" i="2"/>
  <c r="AB105" i="2"/>
  <c r="AB106" i="2"/>
  <c r="AB108" i="2"/>
  <c r="AB109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7" i="2"/>
  <c r="W89" i="2"/>
  <c r="W91" i="2"/>
  <c r="W95" i="2"/>
  <c r="W97" i="2"/>
  <c r="W100" i="2"/>
  <c r="W104" i="2"/>
  <c r="W105" i="2"/>
  <c r="W106" i="2"/>
  <c r="W108" i="2"/>
  <c r="W109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7" i="2"/>
  <c r="R89" i="2"/>
  <c r="R91" i="2"/>
  <c r="R95" i="2"/>
  <c r="R97" i="2"/>
  <c r="R100" i="2"/>
  <c r="R104" i="2"/>
  <c r="R105" i="2"/>
  <c r="R106" i="2"/>
  <c r="R108" i="2"/>
  <c r="R109" i="2"/>
  <c r="M109" i="2"/>
  <c r="M95" i="2"/>
  <c r="M91" i="2"/>
  <c r="M89" i="2"/>
  <c r="M87" i="2"/>
  <c r="M62" i="2"/>
  <c r="AG4" i="2"/>
  <c r="AG8" i="2"/>
  <c r="AG11" i="2"/>
  <c r="AG12" i="2"/>
  <c r="AG13" i="2"/>
  <c r="AG16" i="2"/>
  <c r="AG18" i="2"/>
  <c r="AG21" i="2"/>
  <c r="AG24" i="2"/>
  <c r="AG25" i="2"/>
  <c r="AG27" i="2"/>
  <c r="AG29" i="2"/>
  <c r="AG31" i="2"/>
  <c r="AG32" i="2"/>
  <c r="AG34" i="2"/>
  <c r="AG36" i="2"/>
  <c r="AG37" i="2"/>
  <c r="AG38" i="2"/>
  <c r="AG40" i="2"/>
  <c r="AG41" i="2"/>
  <c r="AG44" i="2"/>
  <c r="AG47" i="2"/>
  <c r="AG49" i="2"/>
  <c r="AG52" i="2"/>
  <c r="AG55" i="2"/>
  <c r="AG57" i="2"/>
  <c r="AB4" i="2"/>
  <c r="AB8" i="2"/>
  <c r="AB11" i="2"/>
  <c r="AB12" i="2"/>
  <c r="AB13" i="2"/>
  <c r="AB16" i="2"/>
  <c r="AB18" i="2"/>
  <c r="AB21" i="2"/>
  <c r="AB24" i="2"/>
  <c r="AB25" i="2"/>
  <c r="AB27" i="2"/>
  <c r="AB29" i="2"/>
  <c r="AB31" i="2"/>
  <c r="AB32" i="2"/>
  <c r="AB34" i="2"/>
  <c r="AB36" i="2"/>
  <c r="AB37" i="2"/>
  <c r="AB38" i="2"/>
  <c r="AB40" i="2"/>
  <c r="AB41" i="2"/>
  <c r="AB44" i="2"/>
  <c r="AB47" i="2"/>
  <c r="AB49" i="2"/>
  <c r="AB52" i="2"/>
  <c r="AB55" i="2"/>
  <c r="AB57" i="2"/>
  <c r="W4" i="2"/>
  <c r="W8" i="2"/>
  <c r="W11" i="2"/>
  <c r="W12" i="2"/>
  <c r="W13" i="2"/>
  <c r="W16" i="2"/>
  <c r="W18" i="2"/>
  <c r="W21" i="2"/>
  <c r="W24" i="2"/>
  <c r="W25" i="2"/>
  <c r="W27" i="2"/>
  <c r="W29" i="2"/>
  <c r="W31" i="2"/>
  <c r="W32" i="2"/>
  <c r="W34" i="2"/>
  <c r="W36" i="2"/>
  <c r="W37" i="2"/>
  <c r="W38" i="2"/>
  <c r="W40" i="2"/>
  <c r="W41" i="2"/>
  <c r="W44" i="2"/>
  <c r="W47" i="2"/>
  <c r="W49" i="2"/>
  <c r="W52" i="2"/>
  <c r="W55" i="2"/>
  <c r="W57" i="2"/>
  <c r="R4" i="2"/>
  <c r="R8" i="2"/>
  <c r="R11" i="2"/>
  <c r="R12" i="2"/>
  <c r="R13" i="2"/>
  <c r="R16" i="2"/>
  <c r="R18" i="2"/>
  <c r="R21" i="2"/>
  <c r="R24" i="2"/>
  <c r="R25" i="2"/>
  <c r="R27" i="2"/>
  <c r="R29" i="2"/>
  <c r="R31" i="2"/>
  <c r="R32" i="2"/>
  <c r="R34" i="2"/>
  <c r="R36" i="2"/>
  <c r="R37" i="2"/>
  <c r="R38" i="2"/>
  <c r="R40" i="2"/>
  <c r="R41" i="2"/>
  <c r="R44" i="2"/>
  <c r="R47" i="2"/>
  <c r="R49" i="2"/>
  <c r="R52" i="2"/>
  <c r="R55" i="2"/>
  <c r="R57" i="2"/>
  <c r="M55" i="2"/>
  <c r="M47" i="2"/>
  <c r="M38" i="2"/>
  <c r="M34" i="2"/>
  <c r="M32" i="2"/>
  <c r="M29" i="2"/>
  <c r="M27" i="2"/>
  <c r="M25" i="2"/>
  <c r="M40" i="2"/>
  <c r="M37" i="2"/>
  <c r="M36" i="2"/>
  <c r="M31" i="2"/>
  <c r="M24" i="2"/>
  <c r="M12" i="2"/>
  <c r="M57" i="2"/>
  <c r="M52" i="2"/>
  <c r="M49" i="2"/>
  <c r="M44" i="2"/>
  <c r="M41" i="2"/>
  <c r="M21" i="2"/>
  <c r="M18" i="2"/>
  <c r="M13" i="2"/>
  <c r="M16" i="2"/>
  <c r="M11" i="2"/>
  <c r="M8" i="2"/>
  <c r="L4" i="2"/>
  <c r="M4" i="2" s="1"/>
</calcChain>
</file>

<file path=xl/sharedStrings.xml><?xml version="1.0" encoding="utf-8"?>
<sst xmlns="http://schemas.openxmlformats.org/spreadsheetml/2006/main" count="398" uniqueCount="115">
  <si>
    <t>စက်သုံးဆီဆိုင်မဟုတ်သည့် အခြားကဏ္ဍများ အရေးပေါ်စက်သုံးဆီလိုအပ်ချက်များ တင်ပြခြင်း</t>
  </si>
  <si>
    <t>စဥ်</t>
  </si>
  <si>
    <t>Center Name</t>
  </si>
  <si>
    <t>Type (Regular/ LNG)</t>
  </si>
  <si>
    <t>ဆီအမျိုးအစား (PD/HSD)</t>
  </si>
  <si>
    <t>ဝယ်ယူခဲ့ သည့် ကုမ္ပဏီ</t>
  </si>
  <si>
    <t>Machine
 Power</t>
  </si>
  <si>
    <t>Consumpiton
 Per Hour</t>
  </si>
  <si>
    <t>မသိရင် မဖြည့်လဲရပါသည်</t>
  </si>
  <si>
    <t>KVA</t>
  </si>
  <si>
    <t>Liter</t>
  </si>
  <si>
    <t>Generator Run Hr</t>
  </si>
  <si>
    <t>Daily Used (L)</t>
  </si>
  <si>
    <t>Spare Tank+Drum Balance (L)</t>
  </si>
  <si>
    <t>Blackout Hr (Gen 1 လုံးထက်ပိုသူများသာဖြည့်ရန်)</t>
  </si>
  <si>
    <t>ALL Total</t>
  </si>
  <si>
    <t>နေ့စဥ် မနက်၉နာရီမခွဲခင် အပြီးဝင်ဖြည့်ပေးပါရန်</t>
  </si>
  <si>
    <r>
      <rPr>
        <sz val="8"/>
        <color rgb="FF000000"/>
        <rFont val="Aptos Narrow"/>
      </rPr>
      <t xml:space="preserve">*Generator run hour ကို နာရီပြောင်းပြီး ဖြည့်ပေးပါ။ ဥပမာ။ 5:15 ဆိုရင် 5+(15/60)= </t>
    </r>
    <r>
      <rPr>
        <b/>
        <sz val="8"/>
        <color rgb="FFFF0000"/>
        <rFont val="Aptos Narrow"/>
      </rPr>
      <t>5.25 Hr</t>
    </r>
  </si>
  <si>
    <t>* spare tank balalce ကို site တစ်ခုအတွက် spare tank+drum အားလုံးစုစုပေါင်းပြီး တစ်ကြောင်းဘဲဖြည့်ပေးပါ။ Genrrator တစ်လုံးထက်ပိုသော site များအတွက် ကြိုက်ရာ generator တစ်ခု၏ဘေးတွင်ရေးပေးပါ။</t>
  </si>
  <si>
    <t>CM19</t>
  </si>
  <si>
    <t>Regular</t>
  </si>
  <si>
    <t>KOHLER-550</t>
  </si>
  <si>
    <t>POWER MAX-150</t>
  </si>
  <si>
    <t>HIMOINSA-300</t>
  </si>
  <si>
    <t>CMAYW</t>
  </si>
  <si>
    <t>KOHLER-440</t>
  </si>
  <si>
    <t>CMDGSK</t>
  </si>
  <si>
    <t>CMKSM</t>
  </si>
  <si>
    <t>AKSA-100</t>
  </si>
  <si>
    <t>KOHLER-350</t>
  </si>
  <si>
    <t>LONGEN-275</t>
  </si>
  <si>
    <t>CMLNP</t>
  </si>
  <si>
    <t>POWER MAX-500</t>
  </si>
  <si>
    <t>CMLPZD</t>
  </si>
  <si>
    <t>KOHLER MOBILE-550</t>
  </si>
  <si>
    <t>SDMO G3-700</t>
  </si>
  <si>
    <t>CMLSPL</t>
  </si>
  <si>
    <t>HIMONISA-200</t>
  </si>
  <si>
    <t>KOHLER-727</t>
  </si>
  <si>
    <t>CMMNG</t>
  </si>
  <si>
    <t>HARMONY-700</t>
  </si>
  <si>
    <t>CMPale</t>
  </si>
  <si>
    <t>KOHLER-220</t>
  </si>
  <si>
    <t>CMPLST</t>
  </si>
  <si>
    <t>CMSDHG</t>
  </si>
  <si>
    <t>CMSPT</t>
  </si>
  <si>
    <t>CMTLKK</t>
  </si>
  <si>
    <t>KOHLER-275</t>
  </si>
  <si>
    <t>KOHLER-410</t>
  </si>
  <si>
    <t>CMTM</t>
  </si>
  <si>
    <t>VPS-500</t>
  </si>
  <si>
    <t>SDMO-550</t>
  </si>
  <si>
    <t>CMWZYD</t>
  </si>
  <si>
    <t>KHOLER-550</t>
  </si>
  <si>
    <t>CMYK</t>
  </si>
  <si>
    <t>MPGV</t>
  </si>
  <si>
    <t>CMCNTP</t>
  </si>
  <si>
    <t>LNG</t>
  </si>
  <si>
    <t>CMLHTY</t>
  </si>
  <si>
    <t>VOLVO-200</t>
  </si>
  <si>
    <t>CMLMLM</t>
  </si>
  <si>
    <t>G1 test run</t>
  </si>
  <si>
    <t>66kV system breakdown</t>
  </si>
  <si>
    <t>POWER MAX-250</t>
  </si>
  <si>
    <t>CMLOTR</t>
  </si>
  <si>
    <t>CMLPT</t>
  </si>
  <si>
    <t>SDMO-500</t>
  </si>
  <si>
    <t>CMLTMW</t>
  </si>
  <si>
    <t>PD</t>
  </si>
  <si>
    <t>Denko</t>
  </si>
  <si>
    <t>CAT C15-550</t>
  </si>
  <si>
    <t>MP6.5</t>
  </si>
  <si>
    <t>Moon Sun</t>
  </si>
  <si>
    <t>KOHLER -550</t>
  </si>
  <si>
    <t>CMLSJ</t>
  </si>
  <si>
    <t>CUMMINS-1000 (1)</t>
  </si>
  <si>
    <t>CUMMINS-1000 (2)</t>
  </si>
  <si>
    <t>CUMMINS-1000 (3)</t>
  </si>
  <si>
    <t>CUMMINS-1000 (4)</t>
  </si>
  <si>
    <t>CMJSQ</t>
  </si>
  <si>
    <t>CMJMT</t>
  </si>
  <si>
    <t>CMISPK</t>
  </si>
  <si>
    <t>CMJ8</t>
  </si>
  <si>
    <t>CMZWN</t>
  </si>
  <si>
    <t>-</t>
  </si>
  <si>
    <t>CMFMI</t>
  </si>
  <si>
    <t>CMCWHAL</t>
  </si>
  <si>
    <t>CMAL</t>
  </si>
  <si>
    <t>CMBH</t>
  </si>
  <si>
    <t>CMAT</t>
  </si>
  <si>
    <t>CM50</t>
  </si>
  <si>
    <t>OCGMP(only Frz &amp; Chi)night only</t>
  </si>
  <si>
    <t>MNC38Q</t>
  </si>
  <si>
    <t>MNCNOTDN</t>
  </si>
  <si>
    <t>MNC0'Mile</t>
  </si>
  <si>
    <t>MNCSMK</t>
  </si>
  <si>
    <t>MNCTTMSO</t>
  </si>
  <si>
    <t>MNC41Q</t>
  </si>
  <si>
    <t>MNCBBH</t>
  </si>
  <si>
    <t>MNCPRM</t>
  </si>
  <si>
    <t>MNCLT</t>
  </si>
  <si>
    <t>DC09</t>
  </si>
  <si>
    <t>DC02 F&amp;P</t>
  </si>
  <si>
    <t>DC02 F&amp;P(KSS)</t>
  </si>
  <si>
    <t>HO</t>
  </si>
  <si>
    <t xml:space="preserve">SSWH ( FM) </t>
  </si>
  <si>
    <t>MCS (152)Stores</t>
  </si>
  <si>
    <t>OCJN</t>
  </si>
  <si>
    <t>OCTG</t>
  </si>
  <si>
    <t>OCDP</t>
  </si>
  <si>
    <t>Diesel Balance</t>
  </si>
  <si>
    <t>Days of buffer</t>
  </si>
  <si>
    <t>CP</t>
  </si>
  <si>
    <t>Total</t>
  </si>
  <si>
    <t>CMHL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</si>
</sst>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d\-mmm\-yy;@"/>
    <numFmt numFmtId="165" formatCode="_(* #,##0_);_(* \(#,##0\);_(* &quot;-&quot;??_);_(@_)"/>
    <numFmt numFmtId="166" formatCode="#,##0.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name val="Aptos Narrow"/>
    </font>
    <font>
      <sz val="8"/>
      <color rgb="FF000000"/>
      <name val="Aptos Narrow"/>
    </font>
    <font>
      <b/>
      <sz val="8"/>
      <color rgb="FFFF0000"/>
      <name val="Aptos Narrow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Pyidaungsu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" fontId="3" fillId="2" borderId="0" xfId="1" applyNumberFormat="1" applyFont="1" applyFill="1" applyAlignment="1">
      <alignment horizontal="right" vertical="center" wrapText="1"/>
    </xf>
    <xf numFmtId="3" fontId="3" fillId="2" borderId="0" xfId="1" applyNumberFormat="1" applyFont="1" applyFill="1" applyAlignment="1">
      <alignment horizontal="right" vertical="center" wrapText="1"/>
    </xf>
    <xf numFmtId="4" fontId="3" fillId="2" borderId="0" xfId="1" applyNumberFormat="1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vertical="center"/>
    </xf>
    <xf numFmtId="4" fontId="3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4" fontId="3" fillId="0" borderId="0" xfId="1" applyNumberFormat="1" applyFont="1" applyFill="1" applyAlignment="1">
      <alignment horizontal="center" vertical="center" wrapText="1"/>
    </xf>
    <xf numFmtId="3" fontId="3" fillId="0" borderId="0" xfId="1" applyNumberFormat="1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165" fontId="3" fillId="0" borderId="0" xfId="1" applyNumberFormat="1" applyFont="1" applyFill="1" applyAlignment="1">
      <alignment vertical="center"/>
    </xf>
    <xf numFmtId="165" fontId="3" fillId="0" borderId="0" xfId="1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" fontId="3" fillId="0" borderId="0" xfId="0" applyNumberFormat="1" applyFont="1"/>
    <xf numFmtId="3" fontId="3" fillId="0" borderId="0" xfId="0" applyNumberFormat="1" applyFont="1" applyAlignment="1">
      <alignment horizontal="left" vertical="center"/>
    </xf>
    <xf numFmtId="4" fontId="3" fillId="0" borderId="0" xfId="1" applyNumberFormat="1" applyFont="1" applyFill="1" applyAlignment="1">
      <alignment vertical="center" wrapText="1"/>
    </xf>
    <xf numFmtId="3" fontId="3" fillId="0" borderId="0" xfId="1" applyNumberFormat="1" applyFont="1" applyFill="1" applyAlignment="1">
      <alignment vertical="center" wrapText="1"/>
    </xf>
    <xf numFmtId="3" fontId="3" fillId="0" borderId="0" xfId="1" applyNumberFormat="1" applyFont="1" applyAlignment="1">
      <alignment horizontal="right" vertical="center" wrapText="1"/>
    </xf>
    <xf numFmtId="4" fontId="3" fillId="0" borderId="0" xfId="1" applyNumberFormat="1" applyFont="1" applyAlignment="1">
      <alignment vertical="center" wrapText="1"/>
    </xf>
    <xf numFmtId="3" fontId="3" fillId="0" borderId="0" xfId="1" applyNumberFormat="1" applyFont="1" applyAlignment="1">
      <alignment vertical="center" wrapText="1"/>
    </xf>
    <xf numFmtId="4" fontId="3" fillId="0" borderId="0" xfId="1" applyNumberFormat="1" applyFont="1" applyBorder="1" applyAlignment="1">
      <alignment vertical="center" wrapText="1"/>
    </xf>
    <xf numFmtId="3" fontId="3" fillId="0" borderId="0" xfId="1" applyNumberFormat="1" applyFont="1" applyBorder="1" applyAlignment="1">
      <alignment vertical="center" wrapText="1"/>
    </xf>
    <xf numFmtId="3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 textRotation="90"/>
    </xf>
    <xf numFmtId="1" fontId="3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4" fontId="3" fillId="3" borderId="0" xfId="1" applyNumberFormat="1" applyFont="1" applyFill="1" applyAlignment="1">
      <alignment vertical="center" wrapText="1"/>
    </xf>
    <xf numFmtId="3" fontId="3" fillId="3" borderId="0" xfId="0" applyNumberFormat="1" applyFont="1" applyFill="1" applyAlignment="1">
      <alignment horizontal="right" vertical="center"/>
    </xf>
    <xf numFmtId="1" fontId="0" fillId="0" borderId="0" xfId="0" applyNumberFormat="1"/>
    <xf numFmtId="3" fontId="0" fillId="0" borderId="0" xfId="0" applyNumberFormat="1"/>
    <xf numFmtId="1" fontId="11" fillId="0" borderId="0" xfId="0" applyNumberFormat="1" applyFont="1"/>
    <xf numFmtId="0" fontId="11" fillId="0" borderId="0" xfId="0" applyFont="1"/>
    <xf numFmtId="3" fontId="11" fillId="0" borderId="0" xfId="0" applyNumberFormat="1" applyFont="1"/>
    <xf numFmtId="1" fontId="1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4" fillId="4" borderId="0" xfId="0" applyNumberFormat="1" applyFont="1" applyFill="1" applyAlignment="1">
      <alignment vertical="center" wrapText="1"/>
    </xf>
    <xf numFmtId="4" fontId="3" fillId="0" borderId="0" xfId="0" applyNumberFormat="1" applyFont="1" applyAlignment="1">
      <alignment horizontal="right" vertical="center" wrapText="1"/>
    </xf>
    <xf numFmtId="4" fontId="3" fillId="0" borderId="0" xfId="0" applyNumberFormat="1" applyFont="1" applyAlignment="1">
      <alignment horizontal="left" vertical="center" wrapText="1" readingOrder="1"/>
    </xf>
    <xf numFmtId="4" fontId="10" fillId="0" borderId="0" xfId="0" applyNumberFormat="1" applyFont="1"/>
    <xf numFmtId="0" fontId="12" fillId="0" borderId="0" xfId="0" applyFont="1"/>
    <xf numFmtId="1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left" vertical="center" wrapText="1" readingOrder="1"/>
    </xf>
    <xf numFmtId="4" fontId="14" fillId="0" borderId="0" xfId="0" applyNumberFormat="1" applyFont="1"/>
    <xf numFmtId="3" fontId="13" fillId="0" borderId="0" xfId="0" applyNumberFormat="1" applyFont="1" applyAlignment="1">
      <alignment horizontal="center" vertical="center"/>
    </xf>
    <xf numFmtId="4" fontId="13" fillId="0" borderId="0" xfId="1" applyNumberFormat="1" applyFont="1" applyFill="1" applyAlignment="1">
      <alignment vertical="center" wrapText="1"/>
    </xf>
    <xf numFmtId="3" fontId="13" fillId="0" borderId="0" xfId="1" applyNumberFormat="1" applyFont="1" applyFill="1" applyAlignment="1">
      <alignment vertical="center" wrapText="1"/>
    </xf>
    <xf numFmtId="4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left" vertical="center" readingOrder="1"/>
    </xf>
    <xf numFmtId="4" fontId="10" fillId="0" borderId="0" xfId="0" applyNumberFormat="1" applyFont="1" applyAlignment="1">
      <alignment horizontal="center" vertical="center" textRotation="90"/>
    </xf>
    <xf numFmtId="3" fontId="3" fillId="2" borderId="0" xfId="0" applyNumberFormat="1" applyFont="1" applyFill="1" applyAlignment="1">
      <alignment vertical="center"/>
    </xf>
    <xf numFmtId="4" fontId="10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4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4" fontId="2" fillId="0" borderId="0" xfId="0" applyNumberFormat="1" applyFont="1" applyAlignment="1">
      <alignment horizontal="left" vertical="center" wrapText="1" readingOrder="1"/>
    </xf>
    <xf numFmtId="3" fontId="15" fillId="0" borderId="0" xfId="0" applyNumberFormat="1" applyFont="1"/>
    <xf numFmtId="1" fontId="0" fillId="5" borderId="0" xfId="0" applyNumberFormat="1" applyFill="1" applyAlignment="1">
      <alignment horizontal="right"/>
    </xf>
    <xf numFmtId="3" fontId="3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3" fontId="3" fillId="0" borderId="0" xfId="1" applyNumberFormat="1" applyFont="1" applyAlignment="1">
      <alignment horizontal="right" vertical="center" wrapText="1"/>
    </xf>
    <xf numFmtId="3" fontId="3" fillId="0" borderId="0" xfId="1" applyNumberFormat="1" applyFont="1" applyAlignment="1">
      <alignment horizontal="center" vertical="center" wrapText="1"/>
    </xf>
    <xf numFmtId="3" fontId="3" fillId="0" borderId="0" xfId="1" applyNumberFormat="1" applyFont="1" applyAlignment="1">
      <alignment vertical="center" wrapText="1"/>
    </xf>
    <xf numFmtId="1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0" borderId="0" xfId="1" applyNumberFormat="1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3" fillId="0" borderId="0" xfId="1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vertical="center" wrapText="1"/>
    </xf>
    <xf numFmtId="4" fontId="3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35B8-1074-4D39-AF89-9670062830DD}">
  <dimension ref="A1:AO109"/>
  <sheetViews>
    <sheetView topLeftCell="U1" workbookViewId="0">
      <selection activeCell="AC11" sqref="AC11"/>
    </sheetView>
  </sheetViews>
  <sheetFormatPr defaultRowHeight="15" customHeight="1"/>
  <cols>
    <col min="1" max="1" width="13.140625" customWidth="1"/>
    <col min="4" max="4" width="4" customWidth="1"/>
    <col min="5" max="5" width="4.5703125" customWidth="1"/>
    <col min="6" max="6" width="13.42578125" customWidth="1"/>
    <col min="12" max="12" width="4.28515625" customWidth="1"/>
    <col min="13" max="13" width="6.7109375" customWidth="1"/>
    <col min="17" max="17" width="3.85546875" customWidth="1"/>
  </cols>
  <sheetData>
    <row r="1" spans="1:32">
      <c r="A1" s="1" t="s">
        <v>0</v>
      </c>
      <c r="B1" s="2"/>
      <c r="C1" s="2"/>
      <c r="D1" s="3"/>
      <c r="E1" s="3"/>
      <c r="F1" s="4"/>
      <c r="G1" s="4"/>
      <c r="H1" s="5"/>
      <c r="I1" s="6"/>
      <c r="J1" s="6"/>
      <c r="K1" s="6"/>
      <c r="L1" s="5"/>
      <c r="M1" s="7"/>
      <c r="N1" s="8"/>
      <c r="O1" s="9"/>
      <c r="P1" s="9"/>
      <c r="Q1" s="2"/>
      <c r="R1" s="2"/>
      <c r="S1" s="9"/>
      <c r="T1" s="9"/>
      <c r="U1" s="9"/>
      <c r="V1" s="2"/>
      <c r="W1" s="2"/>
      <c r="X1" s="9"/>
      <c r="Y1" s="9"/>
      <c r="Z1" s="9"/>
      <c r="AA1" s="2"/>
      <c r="AB1" s="2"/>
      <c r="AC1" s="9"/>
      <c r="AD1" s="9"/>
      <c r="AE1" s="2"/>
      <c r="AF1" s="2"/>
    </row>
    <row r="2" spans="1:32" ht="30" customHeight="1">
      <c r="A2" s="93" t="s">
        <v>1</v>
      </c>
      <c r="B2" s="94" t="s">
        <v>2</v>
      </c>
      <c r="C2" s="10" t="s">
        <v>3</v>
      </c>
      <c r="D2" s="11" t="s">
        <v>4</v>
      </c>
      <c r="E2" s="11" t="s">
        <v>5</v>
      </c>
      <c r="F2" s="12" t="s">
        <v>6</v>
      </c>
      <c r="G2" s="13" t="s">
        <v>7</v>
      </c>
      <c r="H2" s="88">
        <v>46106</v>
      </c>
      <c r="I2" s="88"/>
      <c r="J2" s="88"/>
      <c r="K2" s="88"/>
      <c r="L2" s="14"/>
      <c r="M2" s="88">
        <v>46107</v>
      </c>
      <c r="N2" s="88"/>
      <c r="O2" s="88"/>
      <c r="P2" s="88"/>
      <c r="Q2" s="14"/>
      <c r="R2" s="88">
        <v>46108</v>
      </c>
      <c r="S2" s="88"/>
      <c r="T2" s="88"/>
      <c r="U2" s="88"/>
      <c r="V2" s="14"/>
      <c r="W2" s="88">
        <v>46109</v>
      </c>
      <c r="X2" s="88"/>
      <c r="Y2" s="88"/>
      <c r="Z2" s="88"/>
      <c r="AA2" s="14"/>
      <c r="AB2" s="88">
        <v>46110</v>
      </c>
      <c r="AC2" s="88"/>
      <c r="AD2" s="88"/>
      <c r="AE2" s="88"/>
      <c r="AF2" s="14"/>
    </row>
    <row r="3" spans="1:32" ht="38.25" customHeight="1">
      <c r="A3" s="93"/>
      <c r="B3" s="94"/>
      <c r="C3" s="15"/>
      <c r="D3" s="11" t="s">
        <v>8</v>
      </c>
      <c r="E3" s="11" t="s">
        <v>8</v>
      </c>
      <c r="F3" s="12" t="s">
        <v>9</v>
      </c>
      <c r="G3" s="12" t="s">
        <v>10</v>
      </c>
      <c r="H3" s="10" t="s">
        <v>11</v>
      </c>
      <c r="I3" s="12" t="s">
        <v>12</v>
      </c>
      <c r="J3" s="12" t="s">
        <v>13</v>
      </c>
      <c r="K3" s="12" t="s">
        <v>14</v>
      </c>
      <c r="L3" s="14"/>
      <c r="M3" s="10" t="s">
        <v>11</v>
      </c>
      <c r="N3" s="12" t="s">
        <v>12</v>
      </c>
      <c r="O3" s="12" t="s">
        <v>13</v>
      </c>
      <c r="P3" s="12" t="s">
        <v>14</v>
      </c>
      <c r="Q3" s="14"/>
      <c r="R3" s="10" t="s">
        <v>11</v>
      </c>
      <c r="S3" s="12" t="s">
        <v>12</v>
      </c>
      <c r="T3" s="12" t="s">
        <v>13</v>
      </c>
      <c r="U3" s="12" t="s">
        <v>14</v>
      </c>
      <c r="V3" s="14"/>
      <c r="W3" s="10" t="s">
        <v>11</v>
      </c>
      <c r="X3" s="12" t="s">
        <v>12</v>
      </c>
      <c r="Y3" s="12" t="s">
        <v>13</v>
      </c>
      <c r="Z3" s="12" t="s">
        <v>14</v>
      </c>
      <c r="AA3" s="14"/>
      <c r="AB3" s="10" t="s">
        <v>11</v>
      </c>
      <c r="AC3" s="12" t="s">
        <v>12</v>
      </c>
      <c r="AD3" s="12" t="s">
        <v>13</v>
      </c>
      <c r="AE3" s="12" t="s">
        <v>14</v>
      </c>
      <c r="AF3" s="14"/>
    </row>
    <row r="4" spans="1:32">
      <c r="A4" s="89" t="s">
        <v>15</v>
      </c>
      <c r="B4" s="89"/>
      <c r="C4" s="89"/>
      <c r="D4" s="89"/>
      <c r="E4" s="89"/>
      <c r="F4" s="89"/>
      <c r="G4" s="89"/>
      <c r="H4" s="16">
        <f>SUM(H8:H60)</f>
        <v>70.306666666666672</v>
      </c>
      <c r="I4" s="17">
        <f>SUM(I8:I60)</f>
        <v>3099.6239999999998</v>
      </c>
      <c r="J4" s="17">
        <f>SUM(J8:J60)</f>
        <v>108786.814</v>
      </c>
      <c r="K4" s="17">
        <f>SUM(K8:K60)</f>
        <v>0</v>
      </c>
      <c r="L4" s="18"/>
      <c r="M4" s="16">
        <f>SUM(M8:M60)</f>
        <v>88.443333333333356</v>
      </c>
      <c r="N4" s="17">
        <f>SUM(N8:N60)</f>
        <v>3743.3060000000005</v>
      </c>
      <c r="O4" s="17">
        <f>SUM(O8:O60)</f>
        <v>109298.618</v>
      </c>
      <c r="P4" s="17">
        <f>SUM(P8:P60)</f>
        <v>0</v>
      </c>
      <c r="Q4" s="19"/>
      <c r="R4" s="16">
        <f>SUM(R8:R60)</f>
        <v>67.27</v>
      </c>
      <c r="S4" s="17">
        <f>SUM(S8:S60)</f>
        <v>2335.81</v>
      </c>
      <c r="T4" s="17">
        <f>SUM(T8:T60)</f>
        <v>111773.36</v>
      </c>
      <c r="U4" s="17">
        <f>SUM(U8:U60)</f>
        <v>0</v>
      </c>
      <c r="V4" s="19"/>
      <c r="W4" s="16">
        <f>SUM(W8:W60)</f>
        <v>126.10750000000002</v>
      </c>
      <c r="X4" s="17">
        <f>SUM(X8:X60)</f>
        <v>5129.4139999999998</v>
      </c>
      <c r="Y4" s="17">
        <f>SUM(Y8:Y60)</f>
        <v>107605.79599999999</v>
      </c>
      <c r="Z4" s="17">
        <f>SUM(Z8:Z60)</f>
        <v>5614</v>
      </c>
      <c r="AA4" s="19"/>
      <c r="AB4" s="16">
        <f>SUM(AB8:AB60)</f>
        <v>82.14</v>
      </c>
      <c r="AC4" s="17">
        <f>SUM(AC8:AC60)</f>
        <v>2340.0820000000003</v>
      </c>
      <c r="AD4" s="17">
        <f>SUM(AD8:AD60)</f>
        <v>101978.826</v>
      </c>
      <c r="AE4" s="17">
        <f>SUM(AE8:AE60)</f>
        <v>0</v>
      </c>
      <c r="AF4" s="20"/>
    </row>
    <row r="5" spans="1:32">
      <c r="A5" s="21"/>
      <c r="B5" s="21"/>
      <c r="C5" s="21"/>
      <c r="D5" s="21"/>
      <c r="E5" s="21"/>
      <c r="F5" s="21"/>
      <c r="G5" s="21"/>
      <c r="H5" s="22"/>
      <c r="I5" s="23"/>
      <c r="J5" s="23"/>
      <c r="K5" s="23"/>
      <c r="L5" s="22"/>
      <c r="M5" s="22"/>
      <c r="N5" s="23"/>
      <c r="O5" s="23"/>
      <c r="P5" s="23"/>
      <c r="Q5" s="20"/>
      <c r="R5" s="20"/>
      <c r="S5" s="23"/>
      <c r="T5" s="23"/>
      <c r="U5" s="23"/>
      <c r="V5" s="20"/>
      <c r="W5" s="20"/>
      <c r="X5" s="23"/>
      <c r="Y5" s="23"/>
      <c r="Z5" s="23"/>
      <c r="AA5" s="20"/>
      <c r="AB5" s="20"/>
      <c r="AC5" s="23"/>
      <c r="AD5" s="23"/>
      <c r="AE5" s="20"/>
      <c r="AF5" s="20"/>
    </row>
    <row r="6" spans="1:32">
      <c r="A6" s="24" t="s">
        <v>16</v>
      </c>
      <c r="B6" s="3"/>
      <c r="C6" s="3"/>
      <c r="D6" s="3"/>
      <c r="E6" s="3"/>
      <c r="F6" s="4"/>
      <c r="G6" s="4"/>
      <c r="H6" s="25" t="s">
        <v>17</v>
      </c>
      <c r="I6" s="23"/>
      <c r="J6" s="23"/>
      <c r="K6" s="23"/>
      <c r="L6" s="26"/>
      <c r="M6" s="27"/>
      <c r="N6" s="23"/>
      <c r="O6" s="6"/>
      <c r="P6" s="6"/>
      <c r="Q6" s="5"/>
      <c r="R6" s="5"/>
      <c r="S6" s="6"/>
      <c r="T6" s="6"/>
      <c r="U6" s="6"/>
      <c r="V6" s="5"/>
      <c r="W6" s="5"/>
      <c r="X6" s="6"/>
      <c r="Y6" s="6"/>
      <c r="Z6" s="6"/>
      <c r="AA6" s="5"/>
      <c r="AB6" s="5"/>
      <c r="AC6" s="6"/>
      <c r="AD6" s="6"/>
      <c r="AE6" s="5"/>
      <c r="AF6" s="5"/>
    </row>
    <row r="7" spans="1:32">
      <c r="A7" s="28"/>
      <c r="B7" s="5"/>
      <c r="C7" s="5"/>
      <c r="D7" s="5"/>
      <c r="E7" s="5"/>
      <c r="F7" s="6"/>
      <c r="G7" s="6"/>
      <c r="H7" s="29" t="s">
        <v>18</v>
      </c>
      <c r="I7" s="6"/>
      <c r="J7" s="6"/>
      <c r="K7" s="6"/>
      <c r="L7" s="5"/>
      <c r="M7" s="5"/>
      <c r="N7" s="6"/>
      <c r="O7" s="6"/>
      <c r="P7" s="6"/>
      <c r="Q7" s="5"/>
      <c r="R7" s="5"/>
      <c r="S7" s="6"/>
      <c r="T7" s="6"/>
      <c r="U7" s="6"/>
      <c r="V7" s="5"/>
      <c r="W7" s="5"/>
      <c r="X7" s="6"/>
      <c r="Y7" s="6"/>
      <c r="Z7" s="6"/>
      <c r="AA7" s="5"/>
      <c r="AB7" s="5"/>
      <c r="AC7" s="6"/>
      <c r="AD7" s="6"/>
      <c r="AE7" s="5"/>
      <c r="AF7" s="5"/>
    </row>
    <row r="8" spans="1:32">
      <c r="A8" s="30">
        <v>1</v>
      </c>
      <c r="B8" s="31" t="s">
        <v>19</v>
      </c>
      <c r="C8" s="31" t="s">
        <v>20</v>
      </c>
      <c r="D8" s="32"/>
      <c r="E8" s="32"/>
      <c r="F8" s="33" t="s">
        <v>21</v>
      </c>
      <c r="G8" s="8">
        <v>75</v>
      </c>
      <c r="H8" s="34">
        <f>2+(16/60)</f>
        <v>2.2666666666666666</v>
      </c>
      <c r="I8" s="35">
        <v>105</v>
      </c>
      <c r="J8" s="90">
        <v>2924</v>
      </c>
      <c r="K8" s="91"/>
      <c r="L8" s="20"/>
      <c r="M8" s="37">
        <f>3+(19/60)</f>
        <v>3.3166666666666664</v>
      </c>
      <c r="N8" s="35">
        <v>160</v>
      </c>
      <c r="O8" s="92">
        <v>2661</v>
      </c>
      <c r="P8" s="91"/>
      <c r="Q8" s="20"/>
      <c r="R8" s="37">
        <v>0</v>
      </c>
      <c r="S8" s="6">
        <v>0</v>
      </c>
      <c r="T8" s="90">
        <v>4566</v>
      </c>
      <c r="U8" s="91"/>
      <c r="V8" s="20"/>
      <c r="W8" s="37">
        <f>1+(10/60)</f>
        <v>1.1666666666666667</v>
      </c>
      <c r="X8" s="6">
        <v>51</v>
      </c>
      <c r="Y8" s="90">
        <v>5515</v>
      </c>
      <c r="Z8" s="91"/>
      <c r="AA8" s="20"/>
      <c r="AB8" s="37">
        <f>4+(0/60)</f>
        <v>4</v>
      </c>
      <c r="AC8" s="6">
        <v>185</v>
      </c>
      <c r="AD8" s="90">
        <v>5330</v>
      </c>
      <c r="AE8" s="91"/>
      <c r="AF8" s="20"/>
    </row>
    <row r="9" spans="1:32">
      <c r="A9" s="30">
        <v>2</v>
      </c>
      <c r="B9" s="31" t="s">
        <v>19</v>
      </c>
      <c r="C9" s="31" t="s">
        <v>20</v>
      </c>
      <c r="D9" s="32"/>
      <c r="E9" s="32"/>
      <c r="F9" s="33" t="s">
        <v>22</v>
      </c>
      <c r="G9" s="8">
        <v>30</v>
      </c>
      <c r="H9" s="34">
        <f>2+(0/60)</f>
        <v>2</v>
      </c>
      <c r="I9" s="35"/>
      <c r="J9" s="90"/>
      <c r="K9" s="91"/>
      <c r="L9" s="20"/>
      <c r="M9" s="37">
        <f>8+(0/60)</f>
        <v>8</v>
      </c>
      <c r="N9" s="35">
        <v>103</v>
      </c>
      <c r="O9" s="92"/>
      <c r="P9" s="91"/>
      <c r="Q9" s="20"/>
      <c r="R9" s="37">
        <f>4+(0/60)</f>
        <v>4</v>
      </c>
      <c r="S9" s="6">
        <v>95</v>
      </c>
      <c r="T9" s="90"/>
      <c r="U9" s="91"/>
      <c r="V9" s="20"/>
      <c r="W9" s="37">
        <v>0</v>
      </c>
      <c r="X9" s="6">
        <v>0</v>
      </c>
      <c r="Y9" s="90"/>
      <c r="Z9" s="91"/>
      <c r="AA9" s="20"/>
      <c r="AB9" s="37">
        <v>0</v>
      </c>
      <c r="AC9" s="6">
        <v>0</v>
      </c>
      <c r="AD9" s="90"/>
      <c r="AE9" s="91"/>
      <c r="AF9" s="20"/>
    </row>
    <row r="10" spans="1:32">
      <c r="A10" s="30">
        <v>3</v>
      </c>
      <c r="B10" s="31" t="s">
        <v>19</v>
      </c>
      <c r="C10" s="31" t="s">
        <v>20</v>
      </c>
      <c r="D10" s="32"/>
      <c r="E10" s="32"/>
      <c r="F10" s="33" t="s">
        <v>23</v>
      </c>
      <c r="G10" s="8">
        <v>40</v>
      </c>
      <c r="H10" s="34">
        <v>0</v>
      </c>
      <c r="I10" s="35">
        <v>0</v>
      </c>
      <c r="J10" s="90">
        <v>0</v>
      </c>
      <c r="K10" s="91"/>
      <c r="L10" s="20"/>
      <c r="M10" s="37">
        <v>0</v>
      </c>
      <c r="N10" s="35">
        <v>0</v>
      </c>
      <c r="O10" s="92"/>
      <c r="P10" s="91"/>
      <c r="Q10" s="20"/>
      <c r="R10" s="37">
        <v>0</v>
      </c>
      <c r="S10" s="6">
        <v>0</v>
      </c>
      <c r="T10" s="90"/>
      <c r="U10" s="91"/>
      <c r="V10" s="20"/>
      <c r="W10" s="37">
        <v>0</v>
      </c>
      <c r="X10" s="6">
        <v>0</v>
      </c>
      <c r="Y10" s="90"/>
      <c r="Z10" s="91"/>
      <c r="AA10" s="20"/>
      <c r="AB10" s="37">
        <v>0</v>
      </c>
      <c r="AC10" s="6">
        <v>0</v>
      </c>
      <c r="AD10" s="90"/>
      <c r="AE10" s="91"/>
      <c r="AF10" s="20"/>
    </row>
    <row r="11" spans="1:32">
      <c r="A11" s="30">
        <v>4</v>
      </c>
      <c r="B11" s="31" t="s">
        <v>24</v>
      </c>
      <c r="C11" s="31" t="s">
        <v>20</v>
      </c>
      <c r="D11" s="32"/>
      <c r="E11" s="32"/>
      <c r="F11" s="33" t="s">
        <v>25</v>
      </c>
      <c r="G11" s="8">
        <v>60</v>
      </c>
      <c r="H11" s="34">
        <f>1+(7/60)</f>
        <v>1.1166666666666667</v>
      </c>
      <c r="I11" s="35">
        <v>22</v>
      </c>
      <c r="J11" s="35">
        <v>2146</v>
      </c>
      <c r="K11" s="35"/>
      <c r="L11" s="20"/>
      <c r="M11" s="37">
        <f>4+(22/60)</f>
        <v>4.3666666666666663</v>
      </c>
      <c r="N11" s="35">
        <v>192</v>
      </c>
      <c r="O11" s="6">
        <v>2954</v>
      </c>
      <c r="P11" s="38"/>
      <c r="Q11" s="20"/>
      <c r="R11" s="37">
        <f>4+(7/30)</f>
        <v>4.2333333333333334</v>
      </c>
      <c r="S11" s="6">
        <v>90</v>
      </c>
      <c r="T11" s="36">
        <v>2864</v>
      </c>
      <c r="U11" s="38"/>
      <c r="V11" s="20"/>
      <c r="W11" s="37">
        <f>8+(60/60)</f>
        <v>9</v>
      </c>
      <c r="X11" s="6">
        <v>378</v>
      </c>
      <c r="Y11" s="36">
        <v>2486</v>
      </c>
      <c r="Z11" s="38"/>
      <c r="AA11" s="20"/>
      <c r="AB11" s="37">
        <f>7+(28/60)</f>
        <v>7.4666666666666668</v>
      </c>
      <c r="AC11" s="6">
        <v>159</v>
      </c>
      <c r="AD11" s="36">
        <v>2327</v>
      </c>
      <c r="AE11" s="38"/>
      <c r="AF11" s="20"/>
    </row>
    <row r="12" spans="1:32">
      <c r="A12" s="30">
        <v>5</v>
      </c>
      <c r="B12" t="s">
        <v>26</v>
      </c>
      <c r="C12" s="31" t="s">
        <v>20</v>
      </c>
      <c r="D12" s="32"/>
      <c r="E12" s="32"/>
      <c r="F12" s="33" t="s">
        <v>21</v>
      </c>
      <c r="G12" s="8">
        <v>70</v>
      </c>
      <c r="H12" s="37">
        <v>7.4</v>
      </c>
      <c r="I12" s="38">
        <v>309</v>
      </c>
      <c r="J12" s="38">
        <v>6809</v>
      </c>
      <c r="K12" s="38"/>
      <c r="L12" s="20"/>
      <c r="M12" s="37">
        <v>8.18</v>
      </c>
      <c r="N12" s="38">
        <v>373</v>
      </c>
      <c r="O12" s="6">
        <v>6418</v>
      </c>
      <c r="P12" s="38"/>
      <c r="Q12" s="20"/>
      <c r="R12" s="37">
        <v>11.76</v>
      </c>
      <c r="S12" s="6">
        <v>418</v>
      </c>
      <c r="T12" s="36">
        <v>6100</v>
      </c>
      <c r="U12" s="38"/>
      <c r="V12" s="20"/>
      <c r="W12" s="37">
        <v>8.0500000000000007</v>
      </c>
      <c r="X12" s="6">
        <v>386</v>
      </c>
      <c r="Y12" s="36">
        <v>5786</v>
      </c>
      <c r="Z12" s="38">
        <v>5614</v>
      </c>
      <c r="AA12" s="20"/>
      <c r="AB12" s="37">
        <v>8.42</v>
      </c>
      <c r="AC12" s="6">
        <v>205</v>
      </c>
      <c r="AD12" s="36">
        <v>5409</v>
      </c>
      <c r="AE12" s="38"/>
      <c r="AF12" s="20"/>
    </row>
    <row r="13" spans="1:32">
      <c r="A13" s="30">
        <v>6</v>
      </c>
      <c r="B13" t="s">
        <v>27</v>
      </c>
      <c r="C13" s="31" t="s">
        <v>20</v>
      </c>
      <c r="D13" s="32"/>
      <c r="E13" s="32"/>
      <c r="F13" s="33" t="s">
        <v>28</v>
      </c>
      <c r="G13" s="8">
        <v>13</v>
      </c>
      <c r="H13" s="39">
        <v>0</v>
      </c>
      <c r="I13" s="40">
        <v>0</v>
      </c>
      <c r="J13" s="40"/>
      <c r="K13" s="95"/>
      <c r="L13" s="20"/>
      <c r="M13" s="37">
        <f>24/60</f>
        <v>0.4</v>
      </c>
      <c r="N13" s="40">
        <v>4.5460000000000003</v>
      </c>
      <c r="O13" s="96">
        <v>3041.01</v>
      </c>
      <c r="P13" s="95"/>
      <c r="Q13" s="20"/>
      <c r="R13" s="37">
        <v>0</v>
      </c>
      <c r="S13" s="6">
        <v>0</v>
      </c>
      <c r="T13" s="97">
        <v>2995.55</v>
      </c>
      <c r="U13" s="95"/>
      <c r="V13" s="20"/>
      <c r="W13" s="37">
        <f>1+(52/60)</f>
        <v>1.8666666666666667</v>
      </c>
      <c r="X13" s="6">
        <v>18.184000000000001</v>
      </c>
      <c r="Y13" s="97">
        <v>2927.36</v>
      </c>
      <c r="Z13" s="95"/>
      <c r="AA13" s="20"/>
      <c r="AB13" s="37">
        <f>2+(8/60)</f>
        <v>2.1333333333333333</v>
      </c>
      <c r="AC13" s="6">
        <v>13.638</v>
      </c>
      <c r="AD13" s="97">
        <v>2872.808</v>
      </c>
      <c r="AE13" s="95"/>
      <c r="AF13" s="20"/>
    </row>
    <row r="14" spans="1:32">
      <c r="A14" s="30">
        <v>7</v>
      </c>
      <c r="B14" t="s">
        <v>27</v>
      </c>
      <c r="C14" s="31" t="s">
        <v>20</v>
      </c>
      <c r="D14" s="32"/>
      <c r="E14" s="32"/>
      <c r="F14" s="33" t="s">
        <v>29</v>
      </c>
      <c r="G14" s="8">
        <v>55</v>
      </c>
      <c r="H14" s="39"/>
      <c r="I14" s="40"/>
      <c r="J14" s="40"/>
      <c r="K14" s="95"/>
      <c r="L14" s="20"/>
      <c r="M14" s="37"/>
      <c r="N14" s="40"/>
      <c r="O14" s="96"/>
      <c r="P14" s="95"/>
      <c r="Q14" s="20"/>
      <c r="R14" s="37">
        <v>0</v>
      </c>
      <c r="S14" s="6">
        <v>0</v>
      </c>
      <c r="T14" s="97"/>
      <c r="U14" s="95"/>
      <c r="V14" s="20"/>
      <c r="W14" s="37">
        <v>0</v>
      </c>
      <c r="X14" s="6"/>
      <c r="Y14" s="97"/>
      <c r="Z14" s="95"/>
      <c r="AA14" s="20"/>
      <c r="AB14" s="37">
        <v>0</v>
      </c>
      <c r="AC14" s="6">
        <v>0</v>
      </c>
      <c r="AD14" s="97"/>
      <c r="AE14" s="95"/>
      <c r="AF14" s="20"/>
    </row>
    <row r="15" spans="1:32">
      <c r="A15" s="30">
        <v>8</v>
      </c>
      <c r="B15" t="s">
        <v>27</v>
      </c>
      <c r="C15" s="31" t="s">
        <v>20</v>
      </c>
      <c r="D15" s="32"/>
      <c r="E15" s="32"/>
      <c r="F15" s="33" t="s">
        <v>30</v>
      </c>
      <c r="G15" s="8">
        <v>45.46</v>
      </c>
      <c r="H15" s="39">
        <v>0</v>
      </c>
      <c r="I15" s="40">
        <v>0</v>
      </c>
      <c r="J15" s="40">
        <v>3041.01</v>
      </c>
      <c r="K15" s="95"/>
      <c r="L15" s="20"/>
      <c r="M15" s="37">
        <f>2+(45/60)</f>
        <v>2.75</v>
      </c>
      <c r="N15" s="40">
        <v>40.914000000000001</v>
      </c>
      <c r="O15" s="96"/>
      <c r="P15" s="95"/>
      <c r="Q15" s="20"/>
      <c r="R15" s="37">
        <v>0</v>
      </c>
      <c r="S15" s="6">
        <v>0</v>
      </c>
      <c r="T15" s="97"/>
      <c r="U15" s="95"/>
      <c r="V15" s="20"/>
      <c r="W15" s="37">
        <f>1+(53/60)</f>
        <v>1.8833333333333333</v>
      </c>
      <c r="X15" s="6">
        <v>50.006</v>
      </c>
      <c r="Y15" s="97"/>
      <c r="Z15" s="95"/>
      <c r="AA15" s="20"/>
      <c r="AB15" s="37">
        <f>3+(26/60)</f>
        <v>3.4333333333333336</v>
      </c>
      <c r="AC15" s="6">
        <v>40.914000000000001</v>
      </c>
      <c r="AD15" s="97"/>
      <c r="AE15" s="95"/>
      <c r="AF15" s="20"/>
    </row>
    <row r="16" spans="1:32">
      <c r="A16" s="30">
        <v>9</v>
      </c>
      <c r="B16" t="s">
        <v>31</v>
      </c>
      <c r="C16" s="31" t="s">
        <v>20</v>
      </c>
      <c r="D16" s="32"/>
      <c r="E16" s="32"/>
      <c r="F16" s="33" t="s">
        <v>32</v>
      </c>
      <c r="G16" s="8">
        <v>69</v>
      </c>
      <c r="H16" s="37">
        <v>0</v>
      </c>
      <c r="I16" s="38">
        <v>0</v>
      </c>
      <c r="J16" s="91">
        <v>3145.712</v>
      </c>
      <c r="K16" s="38"/>
      <c r="L16" s="20"/>
      <c r="M16" s="37">
        <f>2+(8/60)</f>
        <v>2.1333333333333333</v>
      </c>
      <c r="N16" s="38">
        <v>109.104</v>
      </c>
      <c r="O16" s="96">
        <v>5027.6360000000004</v>
      </c>
      <c r="P16" s="38"/>
      <c r="Q16" s="20"/>
      <c r="R16" s="37">
        <v>0</v>
      </c>
      <c r="S16" s="6">
        <v>0</v>
      </c>
      <c r="T16" s="87">
        <v>5027.6360000000004</v>
      </c>
      <c r="U16" s="96"/>
      <c r="V16" s="20"/>
      <c r="W16" s="37">
        <v>0</v>
      </c>
      <c r="X16" s="6">
        <v>0</v>
      </c>
      <c r="Y16" s="87">
        <v>5027.6360000000004</v>
      </c>
      <c r="Z16" s="91"/>
      <c r="AA16" s="20"/>
      <c r="AB16" s="37">
        <v>0</v>
      </c>
      <c r="AC16" s="6">
        <v>0</v>
      </c>
      <c r="AD16" s="87">
        <v>5027.6360000000004</v>
      </c>
      <c r="AE16" s="91"/>
      <c r="AF16" s="20"/>
    </row>
    <row r="17" spans="1:32">
      <c r="A17" s="30">
        <v>10</v>
      </c>
      <c r="B17" t="s">
        <v>31</v>
      </c>
      <c r="C17" s="31" t="s">
        <v>20</v>
      </c>
      <c r="D17" s="32"/>
      <c r="E17" s="32"/>
      <c r="F17" s="33" t="s">
        <v>32</v>
      </c>
      <c r="G17" s="8">
        <v>69</v>
      </c>
      <c r="H17" s="34">
        <v>0</v>
      </c>
      <c r="I17" s="35">
        <v>0</v>
      </c>
      <c r="J17" s="91"/>
      <c r="K17" s="35"/>
      <c r="L17" s="20"/>
      <c r="M17" s="37">
        <f>2+(8/60)</f>
        <v>2.1333333333333333</v>
      </c>
      <c r="N17" s="35">
        <v>108.97199999999999</v>
      </c>
      <c r="O17" s="96"/>
      <c r="P17" s="38"/>
      <c r="Q17" s="20"/>
      <c r="R17" s="37">
        <v>0</v>
      </c>
      <c r="S17" s="6">
        <v>0</v>
      </c>
      <c r="T17" s="87"/>
      <c r="U17" s="96"/>
      <c r="V17" s="20"/>
      <c r="W17" s="37">
        <v>0</v>
      </c>
      <c r="X17" s="6">
        <v>0</v>
      </c>
      <c r="Y17" s="87"/>
      <c r="Z17" s="91"/>
      <c r="AA17" s="20"/>
      <c r="AB17" s="37">
        <v>0</v>
      </c>
      <c r="AC17" s="6">
        <v>0</v>
      </c>
      <c r="AD17" s="87"/>
      <c r="AE17" s="91"/>
      <c r="AF17" s="20"/>
    </row>
    <row r="18" spans="1:32">
      <c r="A18" s="30">
        <v>12</v>
      </c>
      <c r="B18" t="s">
        <v>33</v>
      </c>
      <c r="C18" s="31" t="s">
        <v>20</v>
      </c>
      <c r="D18" s="32"/>
      <c r="E18" s="32"/>
      <c r="F18" s="33" t="s">
        <v>32</v>
      </c>
      <c r="G18" s="8">
        <v>70</v>
      </c>
      <c r="H18" s="34">
        <f>3+(1/60)</f>
        <v>3.0166666666666666</v>
      </c>
      <c r="I18" s="35">
        <v>182</v>
      </c>
      <c r="J18" s="35">
        <v>4501</v>
      </c>
      <c r="K18" s="91"/>
      <c r="L18" s="20"/>
      <c r="M18" s="37">
        <f>2+(58/60)</f>
        <v>2.9666666666666668</v>
      </c>
      <c r="N18" s="35">
        <v>141</v>
      </c>
      <c r="O18" s="38">
        <v>4700</v>
      </c>
      <c r="P18" s="91"/>
      <c r="Q18" s="20"/>
      <c r="R18" s="37">
        <f>0+(50/60)</f>
        <v>0.83333333333333337</v>
      </c>
      <c r="S18" s="6">
        <v>45</v>
      </c>
      <c r="T18" s="38">
        <v>4610</v>
      </c>
      <c r="U18" s="91"/>
      <c r="V18" s="20"/>
      <c r="W18" s="37">
        <f>9+(30/60)</f>
        <v>9.5</v>
      </c>
      <c r="X18" s="6">
        <v>395</v>
      </c>
      <c r="Y18" s="38">
        <v>4182</v>
      </c>
      <c r="Z18" s="91"/>
      <c r="AA18" s="20"/>
      <c r="AB18" s="37">
        <f>5+(13/60)</f>
        <v>5.2166666666666668</v>
      </c>
      <c r="AC18" s="6">
        <v>164</v>
      </c>
      <c r="AD18" s="90">
        <v>3787</v>
      </c>
      <c r="AE18" s="91"/>
      <c r="AF18" s="20"/>
    </row>
    <row r="19" spans="1:32">
      <c r="A19" s="30">
        <v>11</v>
      </c>
      <c r="B19" t="s">
        <v>33</v>
      </c>
      <c r="C19" s="31" t="s">
        <v>20</v>
      </c>
      <c r="D19" s="32"/>
      <c r="E19" s="32"/>
      <c r="F19" s="33" t="s">
        <v>34</v>
      </c>
      <c r="G19" s="8">
        <v>68</v>
      </c>
      <c r="H19" s="34">
        <f>3+(0/60)</f>
        <v>3</v>
      </c>
      <c r="I19" s="35">
        <v>114</v>
      </c>
      <c r="J19" s="35">
        <v>4387</v>
      </c>
      <c r="K19" s="91"/>
      <c r="L19" s="20"/>
      <c r="M19" s="37">
        <f>1+(11/60)</f>
        <v>1.1833333333333333</v>
      </c>
      <c r="N19" s="35">
        <v>45</v>
      </c>
      <c r="O19" s="38">
        <v>4655</v>
      </c>
      <c r="P19" s="91"/>
      <c r="Q19" s="20"/>
      <c r="R19" s="37">
        <f>0+(56/60)</f>
        <v>0.93333333333333335</v>
      </c>
      <c r="S19" s="6">
        <v>33</v>
      </c>
      <c r="T19" s="38">
        <v>4577</v>
      </c>
      <c r="U19" s="91"/>
      <c r="V19" s="20"/>
      <c r="W19" s="37">
        <f>4+(1/60)</f>
        <v>4.0166666666666666</v>
      </c>
      <c r="X19" s="6">
        <v>182</v>
      </c>
      <c r="Y19" s="38">
        <v>4000</v>
      </c>
      <c r="Z19" s="91"/>
      <c r="AA19" s="20"/>
      <c r="AB19" s="37">
        <f>1+(11/60)</f>
        <v>1.1833333333333333</v>
      </c>
      <c r="AC19" s="6">
        <v>49</v>
      </c>
      <c r="AD19" s="90"/>
      <c r="AE19" s="91"/>
      <c r="AF19" s="20"/>
    </row>
    <row r="20" spans="1:32">
      <c r="A20" s="30">
        <v>13</v>
      </c>
      <c r="B20" t="s">
        <v>33</v>
      </c>
      <c r="C20" s="31" t="s">
        <v>20</v>
      </c>
      <c r="D20" s="32"/>
      <c r="E20" s="32"/>
      <c r="F20" s="33" t="s">
        <v>35</v>
      </c>
      <c r="G20" s="8">
        <v>86</v>
      </c>
      <c r="H20" s="42">
        <v>0</v>
      </c>
      <c r="I20" s="43">
        <v>0</v>
      </c>
      <c r="J20" s="43">
        <v>0</v>
      </c>
      <c r="K20" s="91"/>
      <c r="L20" s="20"/>
      <c r="M20" s="37">
        <v>0</v>
      </c>
      <c r="N20" s="44">
        <v>0</v>
      </c>
      <c r="O20" s="38">
        <v>0</v>
      </c>
      <c r="P20" s="91"/>
      <c r="Q20" s="20"/>
      <c r="R20" s="37">
        <v>0</v>
      </c>
      <c r="S20" s="6">
        <v>0</v>
      </c>
      <c r="T20" s="38"/>
      <c r="U20" s="91"/>
      <c r="V20" s="20"/>
      <c r="W20" s="37">
        <v>0</v>
      </c>
      <c r="X20" s="6">
        <v>0</v>
      </c>
      <c r="Y20" s="38"/>
      <c r="Z20" s="91"/>
      <c r="AA20" s="20"/>
      <c r="AB20" s="37"/>
      <c r="AC20" s="6"/>
      <c r="AD20" s="90"/>
      <c r="AE20" s="91"/>
      <c r="AF20" s="20"/>
    </row>
    <row r="21" spans="1:32">
      <c r="A21" s="30">
        <v>14</v>
      </c>
      <c r="B21" t="s">
        <v>36</v>
      </c>
      <c r="C21" s="31" t="s">
        <v>20</v>
      </c>
      <c r="D21" s="32"/>
      <c r="E21" s="32"/>
      <c r="F21" s="33" t="s">
        <v>37</v>
      </c>
      <c r="G21" s="8">
        <v>18.184000000000001</v>
      </c>
      <c r="H21" s="42">
        <v>0</v>
      </c>
      <c r="I21" s="43">
        <v>0</v>
      </c>
      <c r="J21" s="43"/>
      <c r="K21" s="99"/>
      <c r="L21" s="20"/>
      <c r="M21" s="37">
        <v>0</v>
      </c>
      <c r="N21" s="44">
        <v>0</v>
      </c>
      <c r="O21" s="6"/>
      <c r="P21" s="99"/>
      <c r="Q21" s="20"/>
      <c r="R21" s="37"/>
      <c r="S21" s="6"/>
      <c r="T21" s="98">
        <v>5041</v>
      </c>
      <c r="U21" s="99"/>
      <c r="V21" s="20"/>
      <c r="W21" s="37">
        <f>4+(23/60)</f>
        <v>4.3833333333333337</v>
      </c>
      <c r="X21" s="6">
        <v>73</v>
      </c>
      <c r="Y21" s="98">
        <v>3858</v>
      </c>
      <c r="Z21" s="99"/>
      <c r="AA21" s="20"/>
      <c r="AB21" s="37">
        <f>6+(17/60)</f>
        <v>6.2833333333333332</v>
      </c>
      <c r="AC21" s="6">
        <v>103</v>
      </c>
      <c r="AD21" s="98">
        <v>3755</v>
      </c>
      <c r="AE21" s="99"/>
      <c r="AF21" s="20"/>
    </row>
    <row r="22" spans="1:32">
      <c r="A22" s="30">
        <v>15</v>
      </c>
      <c r="B22" t="s">
        <v>36</v>
      </c>
      <c r="C22" s="31" t="s">
        <v>20</v>
      </c>
      <c r="D22" s="32"/>
      <c r="E22" s="32"/>
      <c r="F22" s="33" t="s">
        <v>38</v>
      </c>
      <c r="G22" s="8">
        <v>90.92</v>
      </c>
      <c r="H22" s="42">
        <f>4+(26/60)</f>
        <v>4.4333333333333336</v>
      </c>
      <c r="I22" s="43">
        <v>318</v>
      </c>
      <c r="J22" s="43"/>
      <c r="K22" s="99"/>
      <c r="L22" s="20"/>
      <c r="M22" s="37">
        <f>2+(55/60)</f>
        <v>2.9166666666666665</v>
      </c>
      <c r="N22" s="44">
        <v>227</v>
      </c>
      <c r="O22" s="6"/>
      <c r="P22" s="99"/>
      <c r="Q22" s="20"/>
      <c r="R22" s="37">
        <f>2+(43/60)</f>
        <v>2.7166666666666668</v>
      </c>
      <c r="S22" s="6">
        <v>173</v>
      </c>
      <c r="T22" s="98"/>
      <c r="U22" s="99"/>
      <c r="V22" s="20"/>
      <c r="W22" s="37">
        <f>8+(45/60)</f>
        <v>8.75</v>
      </c>
      <c r="X22" s="6">
        <v>641</v>
      </c>
      <c r="Y22" s="98"/>
      <c r="Z22" s="99"/>
      <c r="AA22" s="20"/>
      <c r="AB22" s="37">
        <v>0</v>
      </c>
      <c r="AC22" s="6">
        <v>0</v>
      </c>
      <c r="AD22" s="98"/>
      <c r="AE22" s="99"/>
      <c r="AF22" s="20"/>
    </row>
    <row r="23" spans="1:32">
      <c r="A23" s="30">
        <v>16</v>
      </c>
      <c r="B23" t="s">
        <v>36</v>
      </c>
      <c r="C23" s="31" t="s">
        <v>20</v>
      </c>
      <c r="D23" s="32"/>
      <c r="E23" s="32"/>
      <c r="F23" s="33" t="s">
        <v>32</v>
      </c>
      <c r="G23" s="8">
        <v>77.281999999999996</v>
      </c>
      <c r="H23" s="42">
        <f>4+(28/60)</f>
        <v>4.4666666666666668</v>
      </c>
      <c r="I23" s="43">
        <v>209</v>
      </c>
      <c r="J23" s="43">
        <v>4723</v>
      </c>
      <c r="K23" s="99"/>
      <c r="L23" s="20"/>
      <c r="M23" s="37">
        <f>2+(57/60)</f>
        <v>2.95</v>
      </c>
      <c r="N23" s="44">
        <v>159</v>
      </c>
      <c r="O23" s="6">
        <v>5337</v>
      </c>
      <c r="P23" s="99"/>
      <c r="Q23" s="20"/>
      <c r="R23" s="37">
        <f>2+(44/60)</f>
        <v>2.7333333333333334</v>
      </c>
      <c r="S23" s="6">
        <v>123</v>
      </c>
      <c r="T23" s="98"/>
      <c r="U23" s="99"/>
      <c r="V23" s="20"/>
      <c r="W23" s="37">
        <f>8+(58/60)</f>
        <v>8.9666666666666668</v>
      </c>
      <c r="X23" s="6">
        <v>469</v>
      </c>
      <c r="Y23" s="98"/>
      <c r="Z23" s="99"/>
      <c r="AA23" s="20"/>
      <c r="AB23" s="37">
        <v>0</v>
      </c>
      <c r="AC23" s="6">
        <v>0</v>
      </c>
      <c r="AD23" s="98"/>
      <c r="AE23" s="99"/>
      <c r="AF23" s="20"/>
    </row>
    <row r="24" spans="1:32">
      <c r="A24" s="30">
        <v>17</v>
      </c>
      <c r="B24" t="s">
        <v>39</v>
      </c>
      <c r="C24" s="31" t="s">
        <v>20</v>
      </c>
      <c r="D24" s="32"/>
      <c r="E24" s="32"/>
      <c r="F24" s="33" t="s">
        <v>40</v>
      </c>
      <c r="G24" s="8">
        <v>18</v>
      </c>
      <c r="H24" s="42">
        <f>2+(40/60)</f>
        <v>2.6666666666666665</v>
      </c>
      <c r="I24" s="43">
        <v>136.30799999999999</v>
      </c>
      <c r="J24" s="43">
        <v>2627.42</v>
      </c>
      <c r="K24" s="43"/>
      <c r="L24" s="20"/>
      <c r="M24" s="37">
        <f>1+(7/60)</f>
        <v>1.1166666666666667</v>
      </c>
      <c r="N24" s="44">
        <v>72.736000000000004</v>
      </c>
      <c r="O24" s="6">
        <v>2554.6840000000002</v>
      </c>
      <c r="P24" s="43"/>
      <c r="Q24" s="20"/>
      <c r="R24" s="37">
        <v>0</v>
      </c>
      <c r="S24" s="6">
        <v>0</v>
      </c>
      <c r="T24" s="44">
        <v>2554.6840000000002</v>
      </c>
      <c r="U24" s="43"/>
      <c r="V24" s="20"/>
      <c r="W24" s="37">
        <f>2+(13/60)</f>
        <v>2.2166666666666668</v>
      </c>
      <c r="X24" s="6">
        <v>113.65</v>
      </c>
      <c r="Y24" s="44">
        <v>2441.0340000000001</v>
      </c>
      <c r="Z24" s="43"/>
      <c r="AA24" s="20"/>
      <c r="AB24" s="37">
        <v>0</v>
      </c>
      <c r="AC24" s="6">
        <v>0</v>
      </c>
      <c r="AD24" s="44">
        <v>2441.0340000000001</v>
      </c>
      <c r="AE24" s="43"/>
      <c r="AF24" s="20"/>
    </row>
    <row r="25" spans="1:32">
      <c r="A25" s="30">
        <v>18</v>
      </c>
      <c r="B25" t="s">
        <v>41</v>
      </c>
      <c r="C25" s="31" t="s">
        <v>20</v>
      </c>
      <c r="D25" s="32"/>
      <c r="E25" s="32"/>
      <c r="F25" s="33" t="s">
        <v>42</v>
      </c>
      <c r="G25" s="8">
        <v>22</v>
      </c>
      <c r="H25" s="42">
        <v>4.03</v>
      </c>
      <c r="I25" s="43">
        <v>105</v>
      </c>
      <c r="J25" s="43">
        <v>1912.5</v>
      </c>
      <c r="K25" s="99"/>
      <c r="L25" s="20"/>
      <c r="M25" s="37">
        <v>4.09</v>
      </c>
      <c r="N25" s="44">
        <v>107.5</v>
      </c>
      <c r="O25" s="100">
        <v>1650</v>
      </c>
      <c r="P25" s="99"/>
      <c r="Q25" s="20"/>
      <c r="R25" s="37">
        <v>0</v>
      </c>
      <c r="S25" s="6">
        <v>0</v>
      </c>
      <c r="T25" s="98">
        <v>2650</v>
      </c>
      <c r="U25" s="99"/>
      <c r="V25" s="20"/>
      <c r="W25" s="37">
        <v>4.54</v>
      </c>
      <c r="X25" s="6">
        <v>112.5</v>
      </c>
      <c r="Y25" s="98">
        <v>2425</v>
      </c>
      <c r="Z25" s="99"/>
      <c r="AA25" s="20"/>
      <c r="AB25" s="37">
        <v>3.12</v>
      </c>
      <c r="AC25" s="6">
        <v>50</v>
      </c>
      <c r="AD25" s="98">
        <v>2300</v>
      </c>
      <c r="AE25" s="99"/>
      <c r="AF25" s="20"/>
    </row>
    <row r="26" spans="1:32">
      <c r="A26" s="30">
        <v>19</v>
      </c>
      <c r="B26" t="s">
        <v>41</v>
      </c>
      <c r="C26" s="31" t="s">
        <v>20</v>
      </c>
      <c r="D26" s="32"/>
      <c r="E26" s="32"/>
      <c r="F26" s="33" t="s">
        <v>29</v>
      </c>
      <c r="G26" s="8">
        <v>32</v>
      </c>
      <c r="H26" s="42">
        <v>4.3499999999999996</v>
      </c>
      <c r="I26" s="43">
        <v>97.5</v>
      </c>
      <c r="J26" s="43">
        <v>1913</v>
      </c>
      <c r="K26" s="99"/>
      <c r="L26" s="20"/>
      <c r="M26" s="37">
        <v>4.09</v>
      </c>
      <c r="N26" s="44">
        <v>140</v>
      </c>
      <c r="O26" s="100"/>
      <c r="P26" s="99"/>
      <c r="Q26" s="20"/>
      <c r="R26" s="37">
        <v>0</v>
      </c>
      <c r="S26" s="6">
        <v>0</v>
      </c>
      <c r="T26" s="98"/>
      <c r="U26" s="99"/>
      <c r="V26" s="20"/>
      <c r="W26" s="37">
        <v>4.54</v>
      </c>
      <c r="X26" s="6">
        <v>112.5</v>
      </c>
      <c r="Y26" s="98"/>
      <c r="Z26" s="99"/>
      <c r="AA26" s="20"/>
      <c r="AB26" s="37">
        <v>3.12</v>
      </c>
      <c r="AC26" s="6">
        <v>75</v>
      </c>
      <c r="AD26" s="98"/>
      <c r="AE26" s="99"/>
      <c r="AF26" s="20"/>
    </row>
    <row r="27" spans="1:32">
      <c r="A27" s="30">
        <v>20</v>
      </c>
      <c r="B27" t="s">
        <v>43</v>
      </c>
      <c r="C27" s="31" t="s">
        <v>20</v>
      </c>
      <c r="D27" s="32"/>
      <c r="E27" s="32"/>
      <c r="F27" s="33" t="s">
        <v>28</v>
      </c>
      <c r="G27" s="8">
        <v>13.65</v>
      </c>
      <c r="H27" s="42">
        <v>0</v>
      </c>
      <c r="I27" s="43">
        <v>0</v>
      </c>
      <c r="J27" s="101">
        <v>2837.5</v>
      </c>
      <c r="K27" s="99"/>
      <c r="L27" s="20"/>
      <c r="M27" s="37">
        <v>0</v>
      </c>
      <c r="N27" s="44">
        <v>0</v>
      </c>
      <c r="O27" s="102">
        <v>2678.75</v>
      </c>
      <c r="P27" s="99"/>
      <c r="Q27" s="20"/>
      <c r="R27" s="37">
        <v>0</v>
      </c>
      <c r="S27" s="6">
        <v>0</v>
      </c>
      <c r="T27" s="103">
        <v>2678.75</v>
      </c>
      <c r="U27" s="99"/>
      <c r="V27" s="20"/>
      <c r="W27" s="37">
        <f>1+(4/60)</f>
        <v>1.0666666666666667</v>
      </c>
      <c r="X27" s="46">
        <v>9.1</v>
      </c>
      <c r="Y27" s="103">
        <v>2360.25</v>
      </c>
      <c r="Z27" s="99"/>
      <c r="AA27" s="20"/>
      <c r="AB27" s="37">
        <v>0</v>
      </c>
      <c r="AC27" s="6">
        <v>0</v>
      </c>
      <c r="AD27" s="103">
        <v>2360.25</v>
      </c>
      <c r="AE27" s="99"/>
      <c r="AF27" s="20"/>
    </row>
    <row r="28" spans="1:32">
      <c r="A28" s="30">
        <v>21</v>
      </c>
      <c r="B28" t="s">
        <v>43</v>
      </c>
      <c r="C28" s="31" t="s">
        <v>20</v>
      </c>
      <c r="D28" s="32"/>
      <c r="E28" s="32"/>
      <c r="F28" s="33" t="s">
        <v>21</v>
      </c>
      <c r="G28" s="8">
        <v>59.15</v>
      </c>
      <c r="H28" s="42">
        <f>2+(56/60)</f>
        <v>2.9333333333333336</v>
      </c>
      <c r="I28" s="42">
        <v>95.05</v>
      </c>
      <c r="J28" s="101"/>
      <c r="K28" s="99"/>
      <c r="L28" s="20"/>
      <c r="M28" s="37">
        <f>1+(42/60)</f>
        <v>1.7</v>
      </c>
      <c r="N28" s="45">
        <v>36.4</v>
      </c>
      <c r="O28" s="102"/>
      <c r="P28" s="99"/>
      <c r="Q28" s="20"/>
      <c r="R28" s="37">
        <v>0.98</v>
      </c>
      <c r="S28" s="20">
        <v>31.85</v>
      </c>
      <c r="T28" s="103"/>
      <c r="U28" s="99"/>
      <c r="V28" s="20"/>
      <c r="W28" s="37">
        <f>14+(3/60)</f>
        <v>14.05</v>
      </c>
      <c r="X28" s="20">
        <v>341.25</v>
      </c>
      <c r="Y28" s="103"/>
      <c r="Z28" s="99"/>
      <c r="AA28" s="20"/>
      <c r="AB28" s="37">
        <f>2+(23/60)</f>
        <v>2.3833333333333333</v>
      </c>
      <c r="AC28" s="6">
        <v>68.25</v>
      </c>
      <c r="AD28" s="103"/>
      <c r="AE28" s="99"/>
      <c r="AF28" s="20"/>
    </row>
    <row r="29" spans="1:32">
      <c r="A29" s="30">
        <v>22</v>
      </c>
      <c r="B29" t="s">
        <v>44</v>
      </c>
      <c r="C29" s="31" t="s">
        <v>20</v>
      </c>
      <c r="D29" s="47"/>
      <c r="E29" s="47"/>
      <c r="F29" s="33" t="s">
        <v>25</v>
      </c>
      <c r="G29" s="8">
        <v>54</v>
      </c>
      <c r="H29" s="42">
        <v>5.91</v>
      </c>
      <c r="I29" s="43">
        <v>268.45</v>
      </c>
      <c r="J29" s="43">
        <v>3355.3</v>
      </c>
      <c r="K29" s="99"/>
      <c r="L29" s="20"/>
      <c r="M29" s="37">
        <v>7.36</v>
      </c>
      <c r="N29" s="44">
        <v>349.75</v>
      </c>
      <c r="O29" s="20">
        <v>3005.55</v>
      </c>
      <c r="P29" s="99"/>
      <c r="Q29" s="20"/>
      <c r="R29" s="37">
        <v>12.28</v>
      </c>
      <c r="S29" s="6">
        <v>359.45</v>
      </c>
      <c r="T29" s="98">
        <v>2555.1</v>
      </c>
      <c r="U29" s="99"/>
      <c r="V29" s="20"/>
      <c r="W29" s="37">
        <v>9.25</v>
      </c>
      <c r="X29" s="6">
        <v>353.9</v>
      </c>
      <c r="Y29" s="98">
        <v>2201.1999999999998</v>
      </c>
      <c r="Z29" s="99"/>
      <c r="AA29" s="20"/>
      <c r="AB29" s="37">
        <v>5.01</v>
      </c>
      <c r="AC29" s="6">
        <v>95.55</v>
      </c>
      <c r="AD29" s="98">
        <v>2105.65</v>
      </c>
      <c r="AE29" s="99"/>
      <c r="AF29" s="20"/>
    </row>
    <row r="30" spans="1:32">
      <c r="A30" s="30">
        <v>23</v>
      </c>
      <c r="B30" t="s">
        <v>44</v>
      </c>
      <c r="C30" s="31" t="s">
        <v>20</v>
      </c>
      <c r="D30" s="47"/>
      <c r="E30" s="47"/>
      <c r="F30" s="33" t="s">
        <v>25</v>
      </c>
      <c r="G30" s="8">
        <v>59</v>
      </c>
      <c r="H30" s="20"/>
      <c r="I30" s="6"/>
      <c r="J30" s="6"/>
      <c r="K30" s="99"/>
      <c r="L30" s="20"/>
      <c r="M30" s="37"/>
      <c r="N30" s="8"/>
      <c r="O30" s="6"/>
      <c r="P30" s="99"/>
      <c r="Q30" s="20"/>
      <c r="R30" s="37"/>
      <c r="S30" s="6"/>
      <c r="T30" s="98"/>
      <c r="U30" s="99"/>
      <c r="V30" s="20"/>
      <c r="W30" s="37"/>
      <c r="X30" s="6"/>
      <c r="Y30" s="98"/>
      <c r="Z30" s="99"/>
      <c r="AA30" s="20"/>
      <c r="AB30" s="37"/>
      <c r="AC30" s="6"/>
      <c r="AD30" s="98"/>
      <c r="AE30" s="99"/>
      <c r="AF30" s="20"/>
    </row>
    <row r="31" spans="1:32">
      <c r="A31" s="30">
        <v>24</v>
      </c>
      <c r="B31" t="s">
        <v>45</v>
      </c>
      <c r="C31" s="31" t="s">
        <v>20</v>
      </c>
      <c r="D31" s="20"/>
      <c r="E31" s="20"/>
      <c r="F31" s="33" t="s">
        <v>25</v>
      </c>
      <c r="G31" s="8">
        <v>59.1</v>
      </c>
      <c r="H31" s="20">
        <v>3.9</v>
      </c>
      <c r="I31" s="6">
        <v>181.84</v>
      </c>
      <c r="J31" s="6">
        <v>2650.018</v>
      </c>
      <c r="K31" s="6"/>
      <c r="L31" s="20"/>
      <c r="M31" s="37">
        <v>8.4</v>
      </c>
      <c r="N31" s="6">
        <v>390.88400000000001</v>
      </c>
      <c r="O31" s="6">
        <v>2259.134</v>
      </c>
      <c r="P31" s="6"/>
      <c r="Q31" s="20"/>
      <c r="R31" s="37">
        <v>6.4</v>
      </c>
      <c r="S31" s="6">
        <v>277.28199999999998</v>
      </c>
      <c r="T31" s="41">
        <v>2981.8519999999999</v>
      </c>
      <c r="U31" s="6"/>
      <c r="V31" s="20"/>
      <c r="W31" s="37">
        <v>4</v>
      </c>
      <c r="X31" s="6">
        <v>254.54</v>
      </c>
      <c r="Y31" s="41">
        <v>2727.3119999999999</v>
      </c>
      <c r="Z31" s="6"/>
      <c r="AA31" s="20"/>
      <c r="AB31" s="37">
        <v>6.01</v>
      </c>
      <c r="AC31" s="6">
        <v>222.73</v>
      </c>
      <c r="AD31" s="41">
        <v>2504.5279999999998</v>
      </c>
      <c r="AE31" s="6"/>
      <c r="AF31" s="20"/>
    </row>
    <row r="32" spans="1:32">
      <c r="A32" s="30">
        <v>25</v>
      </c>
      <c r="B32" t="s">
        <v>46</v>
      </c>
      <c r="C32" s="31" t="s">
        <v>20</v>
      </c>
      <c r="D32" s="20"/>
      <c r="E32" s="20"/>
      <c r="F32" s="33" t="s">
        <v>47</v>
      </c>
      <c r="G32" s="8">
        <v>25</v>
      </c>
      <c r="H32" s="20">
        <v>0</v>
      </c>
      <c r="I32" s="6">
        <v>0</v>
      </c>
      <c r="J32" s="87">
        <v>4800</v>
      </c>
      <c r="K32" s="96"/>
      <c r="L32" s="20"/>
      <c r="M32" s="37">
        <v>0</v>
      </c>
      <c r="N32" s="6">
        <v>0</v>
      </c>
      <c r="O32" s="104">
        <v>4590</v>
      </c>
      <c r="P32" s="96"/>
      <c r="Q32" s="20"/>
      <c r="R32" s="37">
        <v>0</v>
      </c>
      <c r="S32" s="6"/>
      <c r="T32" s="87">
        <v>4300</v>
      </c>
      <c r="U32" s="96"/>
      <c r="V32" s="20"/>
      <c r="W32" s="37"/>
      <c r="X32" s="6"/>
      <c r="Y32" s="87">
        <v>3900</v>
      </c>
      <c r="Z32" s="96"/>
      <c r="AA32" s="20"/>
      <c r="AB32" s="37"/>
      <c r="AC32" s="6"/>
      <c r="AD32" s="87">
        <v>3550</v>
      </c>
      <c r="AE32" s="96"/>
      <c r="AF32" s="20"/>
    </row>
    <row r="33" spans="1:32">
      <c r="A33" s="30">
        <v>26</v>
      </c>
      <c r="B33" t="s">
        <v>46</v>
      </c>
      <c r="C33" s="31" t="s">
        <v>20</v>
      </c>
      <c r="D33" s="20"/>
      <c r="E33" s="20"/>
      <c r="F33" s="33" t="s">
        <v>48</v>
      </c>
      <c r="G33" s="8">
        <v>60</v>
      </c>
      <c r="H33" s="20">
        <f>7+(37/60)</f>
        <v>7.6166666666666671</v>
      </c>
      <c r="I33" s="6">
        <v>340</v>
      </c>
      <c r="J33" s="87"/>
      <c r="K33" s="96"/>
      <c r="L33" s="20"/>
      <c r="M33" s="37">
        <f>6+(15/60)</f>
        <v>6.25</v>
      </c>
      <c r="N33" s="6">
        <v>320</v>
      </c>
      <c r="O33" s="104"/>
      <c r="P33" s="96"/>
      <c r="Q33" s="20"/>
      <c r="R33" s="37">
        <f>7+(59/60)</f>
        <v>7.9833333333333334</v>
      </c>
      <c r="S33" s="6">
        <v>290</v>
      </c>
      <c r="T33" s="87"/>
      <c r="U33" s="96"/>
      <c r="V33" s="20"/>
      <c r="W33" s="37">
        <f>8+(47/60)</f>
        <v>8.7833333333333332</v>
      </c>
      <c r="X33" s="6">
        <v>300</v>
      </c>
      <c r="Y33" s="87"/>
      <c r="Z33" s="96"/>
      <c r="AA33" s="20"/>
      <c r="AB33" s="37">
        <f>10+(29/60)</f>
        <v>10.483333333333333</v>
      </c>
      <c r="AC33" s="6">
        <v>350</v>
      </c>
      <c r="AD33" s="87"/>
      <c r="AE33" s="96"/>
      <c r="AF33" s="20"/>
    </row>
    <row r="34" spans="1:32">
      <c r="A34" s="30">
        <v>27</v>
      </c>
      <c r="B34" t="s">
        <v>49</v>
      </c>
      <c r="C34" s="31" t="s">
        <v>20</v>
      </c>
      <c r="D34" s="20"/>
      <c r="E34" s="20"/>
      <c r="F34" s="33" t="s">
        <v>50</v>
      </c>
      <c r="G34" s="8">
        <v>73</v>
      </c>
      <c r="H34" s="20">
        <v>0.7</v>
      </c>
      <c r="I34" s="6">
        <v>47</v>
      </c>
      <c r="J34" s="87">
        <v>1667</v>
      </c>
      <c r="K34" s="96"/>
      <c r="L34" s="20"/>
      <c r="M34" s="37">
        <v>1.02</v>
      </c>
      <c r="N34" s="6">
        <v>52</v>
      </c>
      <c r="O34" s="104">
        <v>2460</v>
      </c>
      <c r="P34" s="96"/>
      <c r="Q34" s="20"/>
      <c r="R34" s="37">
        <v>0</v>
      </c>
      <c r="S34" s="6">
        <v>0</v>
      </c>
      <c r="T34" s="87">
        <v>2452</v>
      </c>
      <c r="U34" s="96"/>
      <c r="V34" s="20"/>
      <c r="W34" s="37">
        <f>2+(0.25/60)</f>
        <v>2.0041666666666669</v>
      </c>
      <c r="X34" s="6">
        <v>164</v>
      </c>
      <c r="Y34" s="87">
        <v>2673</v>
      </c>
      <c r="Z34" s="96"/>
      <c r="AA34" s="20"/>
      <c r="AB34" s="37">
        <f>2+(11/60)</f>
        <v>2.1833333333333331</v>
      </c>
      <c r="AC34" s="6">
        <v>145</v>
      </c>
      <c r="AD34" s="87">
        <v>2528</v>
      </c>
      <c r="AE34" s="96"/>
      <c r="AF34" s="20"/>
    </row>
    <row r="35" spans="1:32">
      <c r="A35" s="30">
        <v>28</v>
      </c>
      <c r="B35" t="s">
        <v>49</v>
      </c>
      <c r="C35" s="31" t="s">
        <v>20</v>
      </c>
      <c r="D35" s="20"/>
      <c r="E35" s="20"/>
      <c r="F35" s="33" t="s">
        <v>51</v>
      </c>
      <c r="G35" s="8">
        <v>60</v>
      </c>
      <c r="H35" s="20">
        <v>0</v>
      </c>
      <c r="I35" s="6">
        <v>0</v>
      </c>
      <c r="J35" s="87"/>
      <c r="K35" s="96"/>
      <c r="L35" s="20"/>
      <c r="M35" s="37">
        <v>1.22</v>
      </c>
      <c r="N35" s="6">
        <v>70</v>
      </c>
      <c r="O35" s="104"/>
      <c r="P35" s="96"/>
      <c r="Q35" s="20"/>
      <c r="R35" s="37">
        <v>0</v>
      </c>
      <c r="S35" s="6">
        <v>0</v>
      </c>
      <c r="T35" s="87"/>
      <c r="U35" s="96"/>
      <c r="V35" s="20"/>
      <c r="W35" s="37">
        <v>0</v>
      </c>
      <c r="X35" s="6">
        <v>0</v>
      </c>
      <c r="Y35" s="87"/>
      <c r="Z35" s="96"/>
      <c r="AA35" s="20"/>
      <c r="AB35" s="37">
        <v>0</v>
      </c>
      <c r="AC35" s="6">
        <v>0</v>
      </c>
      <c r="AD35" s="87"/>
      <c r="AE35" s="96"/>
      <c r="AF35" s="20"/>
    </row>
    <row r="36" spans="1:32">
      <c r="A36" s="30">
        <v>29</v>
      </c>
      <c r="B36" t="s">
        <v>52</v>
      </c>
      <c r="C36" s="31" t="s">
        <v>20</v>
      </c>
      <c r="D36" s="20"/>
      <c r="E36" s="20"/>
      <c r="F36" s="33" t="s">
        <v>53</v>
      </c>
      <c r="G36" s="8">
        <v>81.828000000000003</v>
      </c>
      <c r="H36" s="20">
        <f>5+(37/60)</f>
        <v>5.6166666666666671</v>
      </c>
      <c r="I36" s="6">
        <v>272.7</v>
      </c>
      <c r="J36" s="6">
        <v>2181.7800000000002</v>
      </c>
      <c r="K36" s="6"/>
      <c r="L36" s="20"/>
      <c r="M36" s="37">
        <f>5+(41/60)</f>
        <v>5.6833333333333336</v>
      </c>
      <c r="N36" s="6">
        <v>295.31</v>
      </c>
      <c r="O36" s="6">
        <v>1886.47</v>
      </c>
      <c r="P36" s="6"/>
      <c r="Q36" s="20"/>
      <c r="R36" s="37">
        <f>7+(43/60)</f>
        <v>7.7166666666666668</v>
      </c>
      <c r="S36" s="6">
        <v>227.22800000000001</v>
      </c>
      <c r="T36" s="41">
        <v>2572.8679999999999</v>
      </c>
      <c r="U36" s="6"/>
      <c r="V36" s="20"/>
      <c r="W36" s="37">
        <f>8+(22/60)</f>
        <v>8.3666666666666671</v>
      </c>
      <c r="X36" s="6">
        <v>472.78399999999999</v>
      </c>
      <c r="Y36" s="41">
        <v>2100.0839999999998</v>
      </c>
      <c r="Z36" s="6"/>
      <c r="AA36" s="20"/>
      <c r="AB36" s="37">
        <v>0</v>
      </c>
      <c r="AC36" s="6">
        <v>0</v>
      </c>
      <c r="AD36" s="41">
        <v>3100</v>
      </c>
      <c r="AE36" s="6"/>
      <c r="AF36" s="20"/>
    </row>
    <row r="37" spans="1:32">
      <c r="A37" s="48">
        <v>30</v>
      </c>
      <c r="B37" s="49" t="s">
        <v>54</v>
      </c>
      <c r="C37" s="50" t="s">
        <v>20</v>
      </c>
      <c r="D37" s="51"/>
      <c r="E37" s="51"/>
      <c r="F37" s="52" t="s">
        <v>25</v>
      </c>
      <c r="G37" s="53">
        <v>59</v>
      </c>
      <c r="H37" s="51">
        <f>1+24/60</f>
        <v>1.4</v>
      </c>
      <c r="I37" s="54">
        <v>141</v>
      </c>
      <c r="J37" s="54">
        <v>1619</v>
      </c>
      <c r="K37" s="54"/>
      <c r="L37" s="51"/>
      <c r="M37" s="55">
        <f>1+(24/60)</f>
        <v>1.4</v>
      </c>
      <c r="N37" s="54">
        <v>86</v>
      </c>
      <c r="O37" s="54">
        <v>1533</v>
      </c>
      <c r="P37" s="54"/>
      <c r="Q37" s="51"/>
      <c r="R37" s="55">
        <f>0+(51/60)</f>
        <v>0.85</v>
      </c>
      <c r="S37" s="54">
        <v>32</v>
      </c>
      <c r="T37" s="56">
        <v>1501</v>
      </c>
      <c r="U37" s="54"/>
      <c r="V37" s="51"/>
      <c r="W37" s="55">
        <f>9+(10/60)</f>
        <v>9.1666666666666661</v>
      </c>
      <c r="X37" s="54">
        <v>246</v>
      </c>
      <c r="Y37" s="56">
        <v>1255</v>
      </c>
      <c r="Z37" s="54"/>
      <c r="AA37" s="51"/>
      <c r="AB37" s="55">
        <f>5+(8/60)</f>
        <v>5.1333333333333337</v>
      </c>
      <c r="AC37" s="54">
        <v>95</v>
      </c>
      <c r="AD37" s="56">
        <v>1160</v>
      </c>
      <c r="AE37" s="54"/>
      <c r="AF37" s="51"/>
    </row>
    <row r="38" spans="1:32">
      <c r="A38" s="30">
        <v>31</v>
      </c>
      <c r="B38" t="s">
        <v>55</v>
      </c>
      <c r="C38" s="31" t="s">
        <v>20</v>
      </c>
      <c r="D38" s="20"/>
      <c r="E38" s="20"/>
      <c r="F38" s="33" t="s">
        <v>25</v>
      </c>
      <c r="G38" s="8">
        <v>45</v>
      </c>
      <c r="H38" s="20">
        <f>0+(35/60)</f>
        <v>0.58333333333333337</v>
      </c>
      <c r="I38" s="6">
        <v>22.73</v>
      </c>
      <c r="J38" s="87">
        <v>4777.6540000000005</v>
      </c>
      <c r="K38" s="96"/>
      <c r="L38" s="20"/>
      <c r="M38" s="37">
        <f>1+(32/60)</f>
        <v>1.5333333333333332</v>
      </c>
      <c r="N38" s="6">
        <v>68.19</v>
      </c>
      <c r="O38" s="104">
        <v>5209.4639999999999</v>
      </c>
      <c r="P38" s="96"/>
      <c r="Q38" s="20"/>
      <c r="R38" s="37">
        <v>0</v>
      </c>
      <c r="S38" s="6">
        <v>0</v>
      </c>
      <c r="T38" s="87">
        <v>5209</v>
      </c>
      <c r="U38" s="96"/>
      <c r="V38" s="20"/>
      <c r="W38" s="37">
        <v>0</v>
      </c>
      <c r="X38" s="6">
        <v>0</v>
      </c>
      <c r="Y38" s="87">
        <v>5209</v>
      </c>
      <c r="Z38" s="96"/>
      <c r="AA38" s="20"/>
      <c r="AB38" s="37">
        <v>0</v>
      </c>
      <c r="AC38" s="6">
        <v>0</v>
      </c>
      <c r="AD38" s="87">
        <v>5209</v>
      </c>
      <c r="AE38" s="96"/>
      <c r="AF38" s="20"/>
    </row>
    <row r="39" spans="1:32">
      <c r="A39" s="30">
        <v>32</v>
      </c>
      <c r="B39" t="s">
        <v>55</v>
      </c>
      <c r="C39" s="31" t="s">
        <v>20</v>
      </c>
      <c r="D39" s="20"/>
      <c r="E39" s="20"/>
      <c r="F39" s="33" t="s">
        <v>38</v>
      </c>
      <c r="G39" s="8">
        <v>105</v>
      </c>
      <c r="H39" s="20">
        <f>0+(35/60)</f>
        <v>0.58333333333333337</v>
      </c>
      <c r="I39" s="6">
        <v>68.046000000000006</v>
      </c>
      <c r="J39" s="87"/>
      <c r="K39" s="96"/>
      <c r="L39" s="20"/>
      <c r="M39" s="37">
        <v>0</v>
      </c>
      <c r="N39" s="6">
        <v>0</v>
      </c>
      <c r="O39" s="104"/>
      <c r="P39" s="96"/>
      <c r="Q39" s="20"/>
      <c r="R39" s="37">
        <v>0</v>
      </c>
      <c r="S39" s="6">
        <v>0</v>
      </c>
      <c r="T39" s="87"/>
      <c r="U39" s="96"/>
      <c r="V39" s="20"/>
      <c r="W39" s="37">
        <v>0</v>
      </c>
      <c r="X39" s="6">
        <v>0</v>
      </c>
      <c r="Y39" s="87"/>
      <c r="Z39" s="96"/>
      <c r="AA39" s="20"/>
      <c r="AB39" s="37">
        <v>0</v>
      </c>
      <c r="AC39" s="6">
        <v>0</v>
      </c>
      <c r="AD39" s="87"/>
      <c r="AE39" s="96"/>
      <c r="AF39" s="20"/>
    </row>
    <row r="40" spans="1:32">
      <c r="A40" s="30">
        <v>33</v>
      </c>
      <c r="B40" t="s">
        <v>56</v>
      </c>
      <c r="C40" s="31" t="s">
        <v>57</v>
      </c>
      <c r="D40" s="20"/>
      <c r="E40" s="20"/>
      <c r="F40" s="33" t="s">
        <v>21</v>
      </c>
      <c r="G40" s="8">
        <v>68</v>
      </c>
      <c r="H40" s="20">
        <v>0</v>
      </c>
      <c r="I40" s="6">
        <v>0</v>
      </c>
      <c r="J40" s="6">
        <v>1955</v>
      </c>
      <c r="K40" s="6"/>
      <c r="L40" s="20"/>
      <c r="M40" s="37">
        <f>1+(59/60)</f>
        <v>1.9833333333333334</v>
      </c>
      <c r="N40" s="6">
        <v>55</v>
      </c>
      <c r="O40" s="6">
        <v>1900</v>
      </c>
      <c r="P40" s="6"/>
      <c r="Q40" s="20"/>
      <c r="R40" s="37">
        <f>3+(6/60)</f>
        <v>3.1</v>
      </c>
      <c r="S40" s="6">
        <v>118</v>
      </c>
      <c r="T40" s="41">
        <v>1782</v>
      </c>
      <c r="U40" s="6"/>
      <c r="V40" s="20"/>
      <c r="W40" s="37">
        <v>0</v>
      </c>
      <c r="X40" s="6">
        <v>0</v>
      </c>
      <c r="Y40" s="41">
        <v>1782</v>
      </c>
      <c r="Z40" s="6"/>
      <c r="AA40" s="20"/>
      <c r="AB40" s="37">
        <v>0</v>
      </c>
      <c r="AC40" s="6">
        <v>0</v>
      </c>
      <c r="AD40" s="41">
        <v>1782</v>
      </c>
      <c r="AE40" s="6"/>
      <c r="AF40" s="20"/>
    </row>
    <row r="41" spans="1:32">
      <c r="A41" s="30">
        <v>34</v>
      </c>
      <c r="B41" t="s">
        <v>58</v>
      </c>
      <c r="C41" s="31" t="s">
        <v>57</v>
      </c>
      <c r="D41" s="20"/>
      <c r="E41" s="20"/>
      <c r="F41" s="33" t="s">
        <v>21</v>
      </c>
      <c r="G41" s="8">
        <v>18</v>
      </c>
      <c r="H41" s="20">
        <v>0</v>
      </c>
      <c r="I41" s="6">
        <v>0</v>
      </c>
      <c r="J41" s="87">
        <v>7577</v>
      </c>
      <c r="K41" s="96"/>
      <c r="L41" s="20"/>
      <c r="M41" s="37">
        <v>0</v>
      </c>
      <c r="N41" s="6">
        <v>0</v>
      </c>
      <c r="O41" s="104">
        <v>7561</v>
      </c>
      <c r="P41" s="96"/>
      <c r="Q41" s="20"/>
      <c r="R41" s="37">
        <v>0</v>
      </c>
      <c r="S41" s="6">
        <v>0</v>
      </c>
      <c r="T41" s="87">
        <v>7538</v>
      </c>
      <c r="U41" s="89"/>
      <c r="V41" s="20"/>
      <c r="W41" s="37">
        <v>0</v>
      </c>
      <c r="X41" s="96">
        <v>0</v>
      </c>
      <c r="Y41" s="96">
        <v>7538</v>
      </c>
      <c r="Z41" s="96"/>
      <c r="AA41" s="20"/>
      <c r="AB41" s="37">
        <f>0+(34/60)</f>
        <v>0.56666666666666665</v>
      </c>
      <c r="AC41" s="6">
        <v>22</v>
      </c>
      <c r="AD41" s="87">
        <v>7468</v>
      </c>
      <c r="AE41" s="96"/>
      <c r="AF41" s="20"/>
    </row>
    <row r="42" spans="1:32">
      <c r="A42" s="30">
        <v>35</v>
      </c>
      <c r="B42" t="s">
        <v>58</v>
      </c>
      <c r="C42" s="31" t="s">
        <v>57</v>
      </c>
      <c r="D42" s="20"/>
      <c r="E42" s="20"/>
      <c r="F42" s="33" t="s">
        <v>38</v>
      </c>
      <c r="G42" s="8">
        <v>26</v>
      </c>
      <c r="H42" s="20">
        <f>1+(31/60)</f>
        <v>1.5166666666666666</v>
      </c>
      <c r="I42" s="6">
        <v>65</v>
      </c>
      <c r="J42" s="87">
        <v>0</v>
      </c>
      <c r="K42" s="96"/>
      <c r="L42" s="20"/>
      <c r="M42" s="37">
        <f>0+(18/60)</f>
        <v>0.3</v>
      </c>
      <c r="N42" s="6">
        <v>12</v>
      </c>
      <c r="O42" s="104"/>
      <c r="P42" s="96"/>
      <c r="Q42" s="20"/>
      <c r="R42" s="37">
        <f>0+(45/60)</f>
        <v>0.75</v>
      </c>
      <c r="S42" s="6">
        <v>23</v>
      </c>
      <c r="T42" s="87"/>
      <c r="U42" s="89"/>
      <c r="V42" s="20"/>
      <c r="W42" s="37">
        <v>0</v>
      </c>
      <c r="X42" s="96"/>
      <c r="Y42" s="96"/>
      <c r="Z42" s="96"/>
      <c r="AA42" s="20"/>
      <c r="AB42" s="37">
        <f>0+(35/60)</f>
        <v>0.58333333333333337</v>
      </c>
      <c r="AC42" s="6">
        <v>48</v>
      </c>
      <c r="AD42" s="87"/>
      <c r="AE42" s="96"/>
      <c r="AF42" s="20"/>
    </row>
    <row r="43" spans="1:32">
      <c r="A43" s="30">
        <v>36</v>
      </c>
      <c r="B43" t="s">
        <v>58</v>
      </c>
      <c r="C43" s="31" t="s">
        <v>57</v>
      </c>
      <c r="D43" s="20"/>
      <c r="E43" s="20"/>
      <c r="F43" s="33" t="s">
        <v>59</v>
      </c>
      <c r="G43" s="8">
        <v>10</v>
      </c>
      <c r="H43" s="20">
        <v>0</v>
      </c>
      <c r="I43" s="6">
        <v>0</v>
      </c>
      <c r="J43" s="87">
        <v>0</v>
      </c>
      <c r="K43" s="96"/>
      <c r="L43" s="20"/>
      <c r="M43" s="37">
        <f>0+(9/60)</f>
        <v>0.15</v>
      </c>
      <c r="N43" s="6">
        <v>4</v>
      </c>
      <c r="O43" s="104"/>
      <c r="P43" s="96"/>
      <c r="Q43" s="20"/>
      <c r="R43" s="37">
        <v>0</v>
      </c>
      <c r="S43" s="6">
        <v>0</v>
      </c>
      <c r="T43" s="87"/>
      <c r="U43" s="89"/>
      <c r="V43" s="20"/>
      <c r="W43" s="37">
        <v>0</v>
      </c>
      <c r="X43" s="96"/>
      <c r="Y43" s="96"/>
      <c r="Z43" s="96"/>
      <c r="AA43" s="20"/>
      <c r="AB43" s="37">
        <v>0</v>
      </c>
      <c r="AC43" s="6">
        <v>0</v>
      </c>
      <c r="AD43" s="87"/>
      <c r="AE43" s="96"/>
      <c r="AF43" s="20"/>
    </row>
    <row r="44" spans="1:32">
      <c r="A44" s="30">
        <v>37</v>
      </c>
      <c r="B44" t="s">
        <v>60</v>
      </c>
      <c r="C44" s="31" t="s">
        <v>57</v>
      </c>
      <c r="D44" s="20"/>
      <c r="E44" s="20"/>
      <c r="F44" s="33" t="s">
        <v>38</v>
      </c>
      <c r="G44" s="8">
        <v>115</v>
      </c>
      <c r="H44" s="20">
        <v>0</v>
      </c>
      <c r="I44" s="6">
        <v>0</v>
      </c>
      <c r="J44" s="87">
        <v>3430</v>
      </c>
      <c r="K44" s="96"/>
      <c r="L44" s="20"/>
      <c r="M44" s="37">
        <v>0</v>
      </c>
      <c r="N44" s="6">
        <v>0</v>
      </c>
      <c r="O44" s="104">
        <v>3430</v>
      </c>
      <c r="P44" s="96"/>
      <c r="Q44" s="20"/>
      <c r="R44" s="37">
        <v>0</v>
      </c>
      <c r="S44" s="6">
        <v>0</v>
      </c>
      <c r="T44" s="87">
        <v>3430</v>
      </c>
      <c r="U44" s="96"/>
      <c r="V44" s="20"/>
      <c r="W44" s="37">
        <v>0.5</v>
      </c>
      <c r="X44" s="6">
        <v>5</v>
      </c>
      <c r="Y44" s="87">
        <v>3425</v>
      </c>
      <c r="Z44" s="96" t="s">
        <v>61</v>
      </c>
      <c r="AA44" s="20"/>
      <c r="AB44" s="37">
        <v>1.5</v>
      </c>
      <c r="AC44" s="6">
        <v>95</v>
      </c>
      <c r="AD44" s="87">
        <v>3200</v>
      </c>
      <c r="AE44" s="96" t="s">
        <v>62</v>
      </c>
      <c r="AF44" s="20"/>
    </row>
    <row r="45" spans="1:32">
      <c r="A45" s="30">
        <v>38</v>
      </c>
      <c r="B45" t="s">
        <v>60</v>
      </c>
      <c r="C45" s="31" t="s">
        <v>57</v>
      </c>
      <c r="D45" s="20"/>
      <c r="E45" s="20"/>
      <c r="F45" s="33" t="s">
        <v>38</v>
      </c>
      <c r="G45" s="8">
        <v>115</v>
      </c>
      <c r="H45" s="20">
        <v>0</v>
      </c>
      <c r="I45" s="6">
        <v>0</v>
      </c>
      <c r="J45" s="87"/>
      <c r="K45" s="96"/>
      <c r="L45" s="20"/>
      <c r="M45" s="37">
        <v>0</v>
      </c>
      <c r="N45" s="6">
        <v>0</v>
      </c>
      <c r="O45" s="104"/>
      <c r="P45" s="96"/>
      <c r="Q45" s="20"/>
      <c r="R45" s="37">
        <v>0</v>
      </c>
      <c r="S45" s="6">
        <v>0</v>
      </c>
      <c r="T45" s="87"/>
      <c r="U45" s="96"/>
      <c r="V45" s="20"/>
      <c r="W45" s="37">
        <v>0</v>
      </c>
      <c r="X45" s="6">
        <v>0</v>
      </c>
      <c r="Y45" s="87"/>
      <c r="Z45" s="96"/>
      <c r="AA45" s="20"/>
      <c r="AB45" s="37">
        <v>2</v>
      </c>
      <c r="AC45" s="6">
        <v>130</v>
      </c>
      <c r="AD45" s="87"/>
      <c r="AE45" s="96"/>
      <c r="AF45" s="20"/>
    </row>
    <row r="46" spans="1:32">
      <c r="A46" s="30">
        <v>39</v>
      </c>
      <c r="B46" t="s">
        <v>60</v>
      </c>
      <c r="C46" s="31" t="s">
        <v>57</v>
      </c>
      <c r="D46" s="20"/>
      <c r="E46" s="20"/>
      <c r="F46" s="33" t="s">
        <v>63</v>
      </c>
      <c r="G46" s="8">
        <v>53</v>
      </c>
      <c r="H46" s="20">
        <v>0</v>
      </c>
      <c r="I46" s="6">
        <v>0</v>
      </c>
      <c r="J46" s="87"/>
      <c r="K46" s="96"/>
      <c r="L46" s="20"/>
      <c r="M46" s="37">
        <v>0</v>
      </c>
      <c r="N46" s="6">
        <v>0</v>
      </c>
      <c r="O46" s="104"/>
      <c r="P46" s="96"/>
      <c r="Q46" s="20"/>
      <c r="R46" s="37">
        <v>0</v>
      </c>
      <c r="S46" s="6">
        <v>0</v>
      </c>
      <c r="T46" s="87"/>
      <c r="U46" s="96"/>
      <c r="V46" s="20"/>
      <c r="W46" s="37">
        <v>0</v>
      </c>
      <c r="X46" s="6">
        <v>0</v>
      </c>
      <c r="Y46" s="87"/>
      <c r="Z46" s="96"/>
      <c r="AA46" s="20"/>
      <c r="AB46" s="37">
        <v>0</v>
      </c>
      <c r="AC46" s="6">
        <v>0</v>
      </c>
      <c r="AD46" s="87"/>
      <c r="AE46" s="96"/>
      <c r="AF46" s="20"/>
    </row>
    <row r="47" spans="1:32">
      <c r="A47" s="30">
        <v>40</v>
      </c>
      <c r="B47" t="s">
        <v>64</v>
      </c>
      <c r="C47" s="31" t="s">
        <v>57</v>
      </c>
      <c r="D47" s="20"/>
      <c r="E47" s="20"/>
      <c r="F47" s="33" t="s">
        <v>38</v>
      </c>
      <c r="G47" s="8">
        <v>113.65</v>
      </c>
      <c r="H47" s="20">
        <v>0</v>
      </c>
      <c r="I47" s="20">
        <v>0</v>
      </c>
      <c r="J47" s="87">
        <v>2155</v>
      </c>
      <c r="K47" s="96"/>
      <c r="L47" s="20"/>
      <c r="M47" s="37">
        <v>0</v>
      </c>
      <c r="N47" s="20">
        <v>0</v>
      </c>
      <c r="O47" s="104">
        <v>2155</v>
      </c>
      <c r="P47" s="96"/>
      <c r="Q47" s="20"/>
      <c r="R47" s="37">
        <v>0</v>
      </c>
      <c r="S47" s="20">
        <v>0</v>
      </c>
      <c r="T47" s="87">
        <v>2155</v>
      </c>
      <c r="U47" s="96"/>
      <c r="V47" s="20"/>
      <c r="W47" s="37">
        <v>0.04</v>
      </c>
      <c r="X47" s="6">
        <v>1</v>
      </c>
      <c r="Y47" s="87">
        <v>2155</v>
      </c>
      <c r="Z47" s="96"/>
      <c r="AA47" s="20"/>
      <c r="AB47" s="37">
        <v>0.15</v>
      </c>
      <c r="AC47" s="6">
        <v>22</v>
      </c>
      <c r="AD47" s="87">
        <v>2130</v>
      </c>
      <c r="AE47" s="96"/>
      <c r="AF47" s="20"/>
    </row>
    <row r="48" spans="1:32">
      <c r="A48" s="30">
        <v>41</v>
      </c>
      <c r="B48" t="s">
        <v>64</v>
      </c>
      <c r="C48" s="31" t="s">
        <v>57</v>
      </c>
      <c r="D48" s="20"/>
      <c r="E48" s="20"/>
      <c r="F48" s="33" t="s">
        <v>38</v>
      </c>
      <c r="G48" s="8">
        <v>113.65</v>
      </c>
      <c r="H48" s="20">
        <v>0</v>
      </c>
      <c r="I48" s="20">
        <v>0</v>
      </c>
      <c r="J48" s="87"/>
      <c r="K48" s="96"/>
      <c r="L48" s="20"/>
      <c r="M48" s="37">
        <v>0</v>
      </c>
      <c r="N48" s="20">
        <v>0</v>
      </c>
      <c r="O48" s="104"/>
      <c r="P48" s="96"/>
      <c r="Q48" s="20"/>
      <c r="R48" s="37">
        <v>0</v>
      </c>
      <c r="S48" s="20">
        <v>0</v>
      </c>
      <c r="T48" s="87"/>
      <c r="U48" s="96"/>
      <c r="V48" s="20"/>
      <c r="W48" s="37"/>
      <c r="X48" s="6"/>
      <c r="Y48" s="87"/>
      <c r="Z48" s="96"/>
      <c r="AA48" s="20"/>
      <c r="AB48" s="37">
        <v>0.06</v>
      </c>
      <c r="AC48" s="6">
        <v>2</v>
      </c>
      <c r="AD48" s="87"/>
      <c r="AE48" s="96"/>
      <c r="AF48" s="20"/>
    </row>
    <row r="49" spans="1:41">
      <c r="A49" s="30">
        <v>42</v>
      </c>
      <c r="B49" t="s">
        <v>65</v>
      </c>
      <c r="C49" s="31" t="s">
        <v>57</v>
      </c>
      <c r="D49" s="20"/>
      <c r="E49" s="20"/>
      <c r="F49" s="33" t="s">
        <v>25</v>
      </c>
      <c r="G49" s="8">
        <v>60</v>
      </c>
      <c r="H49" s="20">
        <v>0</v>
      </c>
      <c r="I49" s="6">
        <v>0</v>
      </c>
      <c r="J49" s="87">
        <v>4237</v>
      </c>
      <c r="K49" s="96"/>
      <c r="L49" s="20"/>
      <c r="M49" s="37">
        <v>0</v>
      </c>
      <c r="N49" s="6">
        <v>0</v>
      </c>
      <c r="O49" s="104">
        <v>4237</v>
      </c>
      <c r="P49" s="96"/>
      <c r="Q49" s="20"/>
      <c r="R49" s="37">
        <v>0</v>
      </c>
      <c r="S49" s="6">
        <v>0</v>
      </c>
      <c r="T49" s="87">
        <v>4237</v>
      </c>
      <c r="U49" s="96"/>
      <c r="V49" s="20"/>
      <c r="W49" s="37">
        <v>0</v>
      </c>
      <c r="X49" s="6">
        <v>0</v>
      </c>
      <c r="Y49" s="87">
        <v>4237</v>
      </c>
      <c r="Z49" s="96"/>
      <c r="AA49" s="20"/>
      <c r="AB49" s="37">
        <v>0</v>
      </c>
      <c r="AC49" s="6">
        <v>0</v>
      </c>
      <c r="AD49" s="87">
        <v>4237</v>
      </c>
      <c r="AE49" s="96"/>
      <c r="AF49" s="20"/>
    </row>
    <row r="50" spans="1:41">
      <c r="A50" s="30">
        <v>43</v>
      </c>
      <c r="B50" t="s">
        <v>65</v>
      </c>
      <c r="C50" s="31" t="s">
        <v>57</v>
      </c>
      <c r="D50" s="20"/>
      <c r="E50" s="20"/>
      <c r="F50" s="33" t="s">
        <v>25</v>
      </c>
      <c r="G50" s="8">
        <v>60</v>
      </c>
      <c r="H50" s="20">
        <v>0</v>
      </c>
      <c r="I50" s="6">
        <v>0</v>
      </c>
      <c r="J50" s="87"/>
      <c r="K50" s="96"/>
      <c r="L50" s="20"/>
      <c r="M50" s="37">
        <v>0</v>
      </c>
      <c r="N50" s="6">
        <v>0</v>
      </c>
      <c r="O50" s="104"/>
      <c r="P50" s="96"/>
      <c r="Q50" s="20"/>
      <c r="R50" s="37">
        <v>0</v>
      </c>
      <c r="S50" s="6">
        <v>0</v>
      </c>
      <c r="T50" s="87"/>
      <c r="U50" s="96"/>
      <c r="V50" s="20"/>
      <c r="W50" s="37">
        <v>0</v>
      </c>
      <c r="X50" s="6">
        <v>0</v>
      </c>
      <c r="Y50" s="87"/>
      <c r="Z50" s="96"/>
      <c r="AA50" s="20"/>
      <c r="AB50" s="37">
        <v>0</v>
      </c>
      <c r="AC50" s="6">
        <v>0</v>
      </c>
      <c r="AD50" s="87"/>
      <c r="AE50" s="96"/>
      <c r="AF50" s="20"/>
    </row>
    <row r="51" spans="1:41">
      <c r="A51" s="30">
        <v>44</v>
      </c>
      <c r="B51" t="s">
        <v>65</v>
      </c>
      <c r="C51" s="31" t="s">
        <v>57</v>
      </c>
      <c r="D51" s="20"/>
      <c r="E51" s="20"/>
      <c r="F51" s="33" t="s">
        <v>66</v>
      </c>
      <c r="G51" s="8">
        <v>68</v>
      </c>
      <c r="H51" s="20">
        <v>0</v>
      </c>
      <c r="I51" s="6">
        <v>0</v>
      </c>
      <c r="J51" s="87"/>
      <c r="K51" s="96"/>
      <c r="L51" s="20"/>
      <c r="M51" s="37">
        <v>0</v>
      </c>
      <c r="N51" s="6">
        <v>0</v>
      </c>
      <c r="O51" s="104"/>
      <c r="P51" s="96"/>
      <c r="Q51" s="20"/>
      <c r="R51" s="37">
        <v>0</v>
      </c>
      <c r="S51" s="6">
        <v>0</v>
      </c>
      <c r="T51" s="87"/>
      <c r="U51" s="96"/>
      <c r="V51" s="20"/>
      <c r="W51" s="37">
        <v>0</v>
      </c>
      <c r="X51" s="6">
        <v>0</v>
      </c>
      <c r="Y51" s="87"/>
      <c r="Z51" s="96"/>
      <c r="AA51" s="20"/>
      <c r="AB51" s="37">
        <v>0</v>
      </c>
      <c r="AC51" s="6">
        <v>0</v>
      </c>
      <c r="AD51" s="87"/>
      <c r="AE51" s="96"/>
      <c r="AF51" s="20"/>
    </row>
    <row r="52" spans="1:41">
      <c r="A52" s="30">
        <v>45</v>
      </c>
      <c r="B52" t="s">
        <v>67</v>
      </c>
      <c r="C52" s="31" t="s">
        <v>57</v>
      </c>
      <c r="D52" s="20" t="s">
        <v>68</v>
      </c>
      <c r="E52" s="20" t="s">
        <v>69</v>
      </c>
      <c r="F52" s="33" t="s">
        <v>70</v>
      </c>
      <c r="G52" s="8">
        <v>48</v>
      </c>
      <c r="H52" s="20">
        <v>0.1</v>
      </c>
      <c r="I52" s="6">
        <v>0</v>
      </c>
      <c r="J52" s="87">
        <v>5157</v>
      </c>
      <c r="K52" s="96"/>
      <c r="L52" s="20"/>
      <c r="M52" s="37">
        <v>0.2</v>
      </c>
      <c r="N52" s="6">
        <v>0</v>
      </c>
      <c r="O52" s="104">
        <v>5157</v>
      </c>
      <c r="P52" s="96"/>
      <c r="Q52" s="20"/>
      <c r="R52" s="37">
        <v>0</v>
      </c>
      <c r="S52" s="6">
        <v>0</v>
      </c>
      <c r="T52" s="87">
        <v>5157</v>
      </c>
      <c r="U52" s="96"/>
      <c r="V52" s="20"/>
      <c r="W52" s="37">
        <v>0</v>
      </c>
      <c r="X52" s="6">
        <v>0</v>
      </c>
      <c r="Y52" s="87">
        <v>5157</v>
      </c>
      <c r="Z52" s="96"/>
      <c r="AA52" s="20"/>
      <c r="AB52" s="37">
        <v>0.3</v>
      </c>
      <c r="AC52" s="6">
        <v>0</v>
      </c>
      <c r="AD52" s="87">
        <v>5157</v>
      </c>
      <c r="AE52" s="96"/>
      <c r="AF52" s="20"/>
    </row>
    <row r="53" spans="1:41">
      <c r="A53" s="30">
        <v>46</v>
      </c>
      <c r="B53" t="s">
        <v>67</v>
      </c>
      <c r="C53" s="31" t="s">
        <v>57</v>
      </c>
      <c r="D53" s="20" t="s">
        <v>68</v>
      </c>
      <c r="E53" s="20" t="s">
        <v>69</v>
      </c>
      <c r="F53" s="33" t="s">
        <v>70</v>
      </c>
      <c r="G53" s="8">
        <v>48</v>
      </c>
      <c r="H53" s="20">
        <v>0.7</v>
      </c>
      <c r="I53" s="6">
        <v>0</v>
      </c>
      <c r="J53" s="87"/>
      <c r="K53" s="96"/>
      <c r="L53" s="20"/>
      <c r="M53" s="37">
        <v>0.2</v>
      </c>
      <c r="N53" s="6">
        <v>0</v>
      </c>
      <c r="O53" s="104"/>
      <c r="P53" s="96"/>
      <c r="Q53" s="20"/>
      <c r="R53" s="37">
        <v>0</v>
      </c>
      <c r="S53" s="6">
        <v>0</v>
      </c>
      <c r="T53" s="87"/>
      <c r="U53" s="96"/>
      <c r="V53" s="20"/>
      <c r="W53" s="37">
        <v>0</v>
      </c>
      <c r="X53" s="6">
        <v>0</v>
      </c>
      <c r="Y53" s="87"/>
      <c r="Z53" s="96"/>
      <c r="AA53" s="20"/>
      <c r="AB53" s="37">
        <v>1.4</v>
      </c>
      <c r="AC53" s="6">
        <v>0</v>
      </c>
      <c r="AD53" s="87"/>
      <c r="AE53" s="96"/>
      <c r="AF53" s="20"/>
    </row>
    <row r="54" spans="1:41">
      <c r="A54" s="30">
        <v>47</v>
      </c>
      <c r="B54" t="s">
        <v>67</v>
      </c>
      <c r="C54" s="31" t="s">
        <v>57</v>
      </c>
      <c r="D54" s="20" t="s">
        <v>68</v>
      </c>
      <c r="E54" s="20" t="s">
        <v>69</v>
      </c>
      <c r="F54" s="33" t="s">
        <v>38</v>
      </c>
      <c r="G54" s="8">
        <v>101</v>
      </c>
      <c r="H54" s="20">
        <v>0</v>
      </c>
      <c r="I54" s="6">
        <v>0</v>
      </c>
      <c r="J54" s="87"/>
      <c r="K54" s="96"/>
      <c r="L54" s="20"/>
      <c r="M54" s="37">
        <v>0.15</v>
      </c>
      <c r="N54" s="6">
        <v>0</v>
      </c>
      <c r="O54" s="104"/>
      <c r="P54" s="96"/>
      <c r="Q54" s="20"/>
      <c r="R54" s="37">
        <v>0</v>
      </c>
      <c r="S54" s="6">
        <v>0</v>
      </c>
      <c r="T54" s="87"/>
      <c r="U54" s="96"/>
      <c r="V54" s="20"/>
      <c r="W54" s="37">
        <v>0</v>
      </c>
      <c r="X54" s="6">
        <v>0</v>
      </c>
      <c r="Y54" s="87"/>
      <c r="Z54" s="96"/>
      <c r="AA54" s="20"/>
      <c r="AB54" s="37">
        <v>0</v>
      </c>
      <c r="AC54" s="6">
        <v>0</v>
      </c>
      <c r="AD54" s="87"/>
      <c r="AE54" s="96"/>
      <c r="AF54" s="20"/>
    </row>
    <row r="55" spans="1:41">
      <c r="A55" s="30">
        <v>48</v>
      </c>
      <c r="B55" t="s">
        <v>71</v>
      </c>
      <c r="C55" s="31" t="s">
        <v>57</v>
      </c>
      <c r="D55" s="20" t="s">
        <v>68</v>
      </c>
      <c r="E55" s="20" t="s">
        <v>72</v>
      </c>
      <c r="F55" s="33" t="s">
        <v>73</v>
      </c>
      <c r="G55" s="8">
        <v>72.736000000000004</v>
      </c>
      <c r="H55" s="20">
        <v>0</v>
      </c>
      <c r="I55" s="6">
        <v>0</v>
      </c>
      <c r="J55" s="6">
        <v>3763.92</v>
      </c>
      <c r="K55" s="96"/>
      <c r="L55" s="20"/>
      <c r="M55" s="37">
        <v>0</v>
      </c>
      <c r="N55" s="6">
        <v>0</v>
      </c>
      <c r="O55" s="6">
        <v>3763.92</v>
      </c>
      <c r="P55" s="96"/>
      <c r="Q55" s="20"/>
      <c r="R55" s="37">
        <v>0</v>
      </c>
      <c r="S55" s="6">
        <v>0</v>
      </c>
      <c r="T55" s="87">
        <v>3763.92</v>
      </c>
      <c r="U55" s="96"/>
      <c r="V55" s="20"/>
      <c r="W55" s="37">
        <v>0</v>
      </c>
      <c r="X55" s="6">
        <v>0</v>
      </c>
      <c r="Y55" s="87">
        <v>3763.92</v>
      </c>
      <c r="Z55" s="96"/>
      <c r="AA55" s="20"/>
      <c r="AB55" s="37">
        <v>0</v>
      </c>
      <c r="AC55" s="6">
        <v>0</v>
      </c>
      <c r="AD55" s="87">
        <v>3763.92</v>
      </c>
      <c r="AE55" s="96"/>
      <c r="AF55" s="20"/>
    </row>
    <row r="56" spans="1:41">
      <c r="A56" s="30">
        <v>49</v>
      </c>
      <c r="B56" t="s">
        <v>71</v>
      </c>
      <c r="C56" s="31" t="s">
        <v>57</v>
      </c>
      <c r="D56" s="20"/>
      <c r="E56" s="20"/>
      <c r="F56" s="33" t="s">
        <v>73</v>
      </c>
      <c r="G56" s="8">
        <v>72.736000000000004</v>
      </c>
      <c r="H56" s="20"/>
      <c r="I56" s="6"/>
      <c r="J56" s="6"/>
      <c r="K56" s="96"/>
      <c r="L56" s="20"/>
      <c r="M56" s="37"/>
      <c r="N56" s="6"/>
      <c r="O56" s="6"/>
      <c r="P56" s="96"/>
      <c r="Q56" s="20"/>
      <c r="R56" s="37"/>
      <c r="S56" s="6"/>
      <c r="T56" s="87"/>
      <c r="U56" s="96"/>
      <c r="V56" s="20"/>
      <c r="W56" s="37"/>
      <c r="X56" s="6"/>
      <c r="Y56" s="87"/>
      <c r="Z56" s="96"/>
      <c r="AA56" s="20"/>
      <c r="AB56" s="37"/>
      <c r="AC56" s="6"/>
      <c r="AD56" s="87"/>
      <c r="AE56" s="96"/>
      <c r="AF56" s="20"/>
    </row>
    <row r="57" spans="1:41">
      <c r="A57" s="30">
        <v>50</v>
      </c>
      <c r="B57" s="31" t="s">
        <v>74</v>
      </c>
      <c r="C57" s="31" t="s">
        <v>57</v>
      </c>
      <c r="D57" s="89" t="s">
        <v>68</v>
      </c>
      <c r="E57" s="105" t="s">
        <v>72</v>
      </c>
      <c r="F57" s="33" t="s">
        <v>75</v>
      </c>
      <c r="G57" s="8">
        <v>115</v>
      </c>
      <c r="H57" s="20">
        <v>0</v>
      </c>
      <c r="I57" s="96">
        <v>0</v>
      </c>
      <c r="J57" s="87">
        <f>12724+5770</f>
        <v>18494</v>
      </c>
      <c r="K57" s="96"/>
      <c r="L57" s="20"/>
      <c r="M57" s="37">
        <v>0</v>
      </c>
      <c r="N57" s="96">
        <v>20</v>
      </c>
      <c r="O57" s="104">
        <v>18474</v>
      </c>
      <c r="P57" s="96"/>
      <c r="Q57" s="20"/>
      <c r="R57" s="37">
        <v>0</v>
      </c>
      <c r="S57" s="96">
        <v>0</v>
      </c>
      <c r="T57" s="87">
        <v>18474</v>
      </c>
      <c r="U57" s="96"/>
      <c r="V57" s="20"/>
      <c r="W57" s="37">
        <v>0</v>
      </c>
      <c r="X57" s="96">
        <v>0</v>
      </c>
      <c r="Y57" s="87">
        <v>18474</v>
      </c>
      <c r="Z57" s="96"/>
      <c r="AA57" s="20"/>
      <c r="AB57" s="37">
        <v>0</v>
      </c>
      <c r="AC57" s="87">
        <v>0</v>
      </c>
      <c r="AD57" s="87">
        <v>18474</v>
      </c>
      <c r="AE57" s="96"/>
      <c r="AF57" s="20"/>
    </row>
    <row r="58" spans="1:41">
      <c r="A58" s="30">
        <v>51</v>
      </c>
      <c r="B58" s="31" t="s">
        <v>74</v>
      </c>
      <c r="C58" s="31" t="s">
        <v>57</v>
      </c>
      <c r="D58" s="89"/>
      <c r="E58" s="105"/>
      <c r="F58" s="33" t="s">
        <v>76</v>
      </c>
      <c r="G58" s="8">
        <v>115</v>
      </c>
      <c r="H58" s="20">
        <v>0</v>
      </c>
      <c r="I58" s="96"/>
      <c r="J58" s="87"/>
      <c r="K58" s="96"/>
      <c r="L58" s="20"/>
      <c r="M58" s="37">
        <v>0</v>
      </c>
      <c r="N58" s="96"/>
      <c r="O58" s="104"/>
      <c r="P58" s="96"/>
      <c r="Q58" s="20"/>
      <c r="R58" s="37">
        <v>0</v>
      </c>
      <c r="S58" s="96"/>
      <c r="T58" s="87"/>
      <c r="U58" s="96"/>
      <c r="V58" s="20"/>
      <c r="W58" s="37">
        <v>0</v>
      </c>
      <c r="X58" s="96"/>
      <c r="Y58" s="87"/>
      <c r="Z58" s="96"/>
      <c r="AA58" s="20"/>
      <c r="AB58" s="37">
        <v>0</v>
      </c>
      <c r="AC58" s="87"/>
      <c r="AD58" s="87"/>
      <c r="AE58" s="96"/>
      <c r="AF58" s="20"/>
    </row>
    <row r="59" spans="1:41">
      <c r="A59" s="30">
        <v>52</v>
      </c>
      <c r="B59" s="31" t="s">
        <v>74</v>
      </c>
      <c r="C59" s="31" t="s">
        <v>57</v>
      </c>
      <c r="D59" s="89"/>
      <c r="E59" s="105"/>
      <c r="F59" s="33" t="s">
        <v>77</v>
      </c>
      <c r="G59" s="8">
        <v>115</v>
      </c>
      <c r="H59" s="20">
        <v>0</v>
      </c>
      <c r="I59" s="96"/>
      <c r="J59" s="87"/>
      <c r="K59" s="96"/>
      <c r="L59" s="20"/>
      <c r="M59" s="37">
        <v>0</v>
      </c>
      <c r="N59" s="96"/>
      <c r="O59" s="104"/>
      <c r="P59" s="96"/>
      <c r="Q59" s="20"/>
      <c r="R59" s="37">
        <v>0</v>
      </c>
      <c r="S59" s="96"/>
      <c r="T59" s="87"/>
      <c r="U59" s="96"/>
      <c r="V59" s="20"/>
      <c r="W59" s="37">
        <v>0</v>
      </c>
      <c r="X59" s="96"/>
      <c r="Y59" s="87"/>
      <c r="Z59" s="96"/>
      <c r="AA59" s="20"/>
      <c r="AB59" s="37">
        <v>0</v>
      </c>
      <c r="AC59" s="87"/>
      <c r="AD59" s="87"/>
      <c r="AE59" s="96"/>
      <c r="AF59" s="20"/>
    </row>
    <row r="60" spans="1:41">
      <c r="A60" s="30">
        <v>53</v>
      </c>
      <c r="B60" s="31" t="s">
        <v>74</v>
      </c>
      <c r="C60" s="31" t="s">
        <v>57</v>
      </c>
      <c r="D60" s="89"/>
      <c r="E60" s="105"/>
      <c r="F60" s="33" t="s">
        <v>78</v>
      </c>
      <c r="G60" s="8">
        <v>115</v>
      </c>
      <c r="H60" s="20">
        <v>0</v>
      </c>
      <c r="I60" s="96"/>
      <c r="J60" s="87"/>
      <c r="K60" s="96"/>
      <c r="L60" s="20"/>
      <c r="M60" s="37">
        <v>0.3</v>
      </c>
      <c r="N60" s="96"/>
      <c r="O60" s="104"/>
      <c r="P60" s="96"/>
      <c r="Q60" s="20"/>
      <c r="R60" s="37">
        <v>0</v>
      </c>
      <c r="S60" s="96"/>
      <c r="T60" s="87"/>
      <c r="U60" s="96"/>
      <c r="V60" s="20"/>
      <c r="W60" s="37">
        <v>0</v>
      </c>
      <c r="X60" s="96"/>
      <c r="Y60" s="87"/>
      <c r="Z60" s="96"/>
      <c r="AA60" s="20"/>
      <c r="AB60" s="37">
        <v>0</v>
      </c>
      <c r="AC60" s="87"/>
      <c r="AD60" s="87"/>
      <c r="AE60" s="96"/>
      <c r="AF60" s="20"/>
    </row>
    <row r="61" spans="1:41">
      <c r="A61" s="28"/>
      <c r="B61" s="20"/>
      <c r="C61" s="20"/>
      <c r="D61" s="20"/>
      <c r="E61" s="20"/>
      <c r="F61" s="6"/>
      <c r="G61" s="6"/>
      <c r="H61" s="20"/>
      <c r="I61" s="6"/>
      <c r="J61" s="6"/>
      <c r="K61" s="6"/>
      <c r="L61" s="20"/>
      <c r="M61" s="20"/>
      <c r="N61" s="6"/>
      <c r="O61" s="6"/>
      <c r="P61" s="6"/>
      <c r="Q61" s="20"/>
      <c r="R61" s="20"/>
      <c r="S61" s="6"/>
      <c r="T61" s="6"/>
      <c r="U61" s="6"/>
      <c r="V61" s="20"/>
      <c r="W61" s="20"/>
      <c r="X61" s="6"/>
      <c r="Y61" s="6"/>
      <c r="Z61" s="6"/>
      <c r="AA61" s="20"/>
      <c r="AB61" s="20"/>
      <c r="AC61" s="6"/>
      <c r="AD61" s="6"/>
      <c r="AE61" s="20"/>
      <c r="AF61" s="20"/>
    </row>
    <row r="62" spans="1:41">
      <c r="A62" s="30">
        <v>1</v>
      </c>
      <c r="B62" s="66" t="s">
        <v>79</v>
      </c>
      <c r="C62" s="66"/>
      <c r="D62" s="67" t="s">
        <v>68</v>
      </c>
      <c r="E62" s="67" t="s">
        <v>69</v>
      </c>
      <c r="F62" s="8">
        <v>220</v>
      </c>
      <c r="G62" s="8">
        <f>8*4.546</f>
        <v>36.368000000000002</v>
      </c>
      <c r="H62" s="34">
        <v>0</v>
      </c>
      <c r="I62" s="35">
        <v>0</v>
      </c>
      <c r="J62" s="35">
        <v>1091.04</v>
      </c>
      <c r="K62" s="35"/>
      <c r="L62" s="20"/>
      <c r="M62" s="42">
        <v>0</v>
      </c>
      <c r="N62" s="35">
        <v>0</v>
      </c>
      <c r="O62" s="6">
        <v>1091.04</v>
      </c>
      <c r="P62" s="6"/>
      <c r="Q62" s="20"/>
      <c r="R62" s="42">
        <v>0</v>
      </c>
      <c r="S62" s="20">
        <v>0</v>
      </c>
      <c r="T62" s="6">
        <v>1091.04</v>
      </c>
      <c r="U62" s="6"/>
      <c r="V62" s="20"/>
      <c r="W62" s="20">
        <v>0.25</v>
      </c>
      <c r="X62" s="20">
        <v>0</v>
      </c>
      <c r="Y62" s="6">
        <v>1091.04</v>
      </c>
      <c r="Z62" s="6"/>
      <c r="AA62" s="20"/>
      <c r="AB62" s="20">
        <v>0</v>
      </c>
      <c r="AC62" s="20">
        <v>0</v>
      </c>
      <c r="AD62" s="6">
        <v>1091.04</v>
      </c>
      <c r="AE62" s="6"/>
      <c r="AF62" s="20"/>
      <c r="AG62" s="34"/>
      <c r="AH62" s="35"/>
      <c r="AI62" s="35"/>
      <c r="AJ62" s="35"/>
      <c r="AK62" s="20"/>
      <c r="AL62" s="34"/>
      <c r="AM62" s="35"/>
      <c r="AN62" s="35"/>
      <c r="AO62" s="20"/>
    </row>
    <row r="63" spans="1:41">
      <c r="A63" s="30">
        <v>2</v>
      </c>
      <c r="B63" s="66" t="s">
        <v>80</v>
      </c>
      <c r="C63" s="66"/>
      <c r="D63" s="67" t="s">
        <v>68</v>
      </c>
      <c r="E63" s="67" t="s">
        <v>69</v>
      </c>
      <c r="F63" s="8">
        <v>275</v>
      </c>
      <c r="G63" s="8">
        <f>10*4.546</f>
        <v>45.46</v>
      </c>
      <c r="H63" s="34">
        <v>0.25</v>
      </c>
      <c r="I63" s="35">
        <v>0</v>
      </c>
      <c r="J63" s="35">
        <v>1777</v>
      </c>
      <c r="K63" s="35"/>
      <c r="L63" s="20"/>
      <c r="M63" s="42">
        <v>1.75</v>
      </c>
      <c r="N63" s="35">
        <v>45</v>
      </c>
      <c r="O63" s="6">
        <v>1732</v>
      </c>
      <c r="P63" s="6"/>
      <c r="Q63" s="20"/>
      <c r="R63" s="42">
        <v>3</v>
      </c>
      <c r="S63" s="6">
        <v>60</v>
      </c>
      <c r="T63" s="6">
        <v>1672</v>
      </c>
      <c r="U63" s="6"/>
      <c r="V63" s="20"/>
      <c r="W63" s="20">
        <v>0.25</v>
      </c>
      <c r="X63" s="6">
        <v>0</v>
      </c>
      <c r="Y63" s="6">
        <v>1672</v>
      </c>
      <c r="Z63" s="6"/>
      <c r="AA63" s="20"/>
      <c r="AB63" s="34">
        <v>0.25</v>
      </c>
      <c r="AC63" s="35">
        <v>0</v>
      </c>
      <c r="AD63" s="35">
        <v>1672</v>
      </c>
      <c r="AE63" s="35"/>
      <c r="AF63" s="20"/>
      <c r="AG63" s="34"/>
      <c r="AH63" s="35"/>
      <c r="AI63" s="35"/>
      <c r="AJ63" s="35"/>
      <c r="AK63" s="20"/>
      <c r="AL63" s="34"/>
      <c r="AM63" s="35"/>
      <c r="AN63" s="35"/>
      <c r="AO63" s="20"/>
    </row>
    <row r="64" spans="1:41">
      <c r="A64" s="30">
        <v>3</v>
      </c>
      <c r="B64" s="66" t="s">
        <v>81</v>
      </c>
      <c r="C64" s="66"/>
      <c r="D64" s="67"/>
      <c r="E64" s="67"/>
      <c r="F64" s="8">
        <v>500</v>
      </c>
      <c r="G64" s="8">
        <f>15*4.546</f>
        <v>68.19</v>
      </c>
      <c r="H64" s="34">
        <v>3</v>
      </c>
      <c r="I64" s="35">
        <v>90</v>
      </c>
      <c r="J64" s="35">
        <v>1736</v>
      </c>
      <c r="K64" s="35"/>
      <c r="L64" s="20"/>
      <c r="M64" s="42">
        <v>7</v>
      </c>
      <c r="N64" s="35">
        <f>52*4.546</f>
        <v>236.39200000000002</v>
      </c>
      <c r="O64" s="6">
        <f>520*4.56</f>
        <v>2371.1999999999998</v>
      </c>
      <c r="P64" s="6"/>
      <c r="Q64" s="20"/>
      <c r="R64" s="42">
        <v>3.3</v>
      </c>
      <c r="S64" s="6">
        <v>136.38</v>
      </c>
      <c r="T64" s="6">
        <v>2863.98</v>
      </c>
      <c r="U64" s="6"/>
      <c r="V64" s="20"/>
      <c r="W64" s="20">
        <v>9.5500000000000007</v>
      </c>
      <c r="X64" s="6">
        <v>340.95</v>
      </c>
      <c r="Y64" s="6">
        <v>2477.5700000000002</v>
      </c>
      <c r="Z64" s="6"/>
      <c r="AA64" s="20"/>
      <c r="AB64" s="68">
        <v>3.4</v>
      </c>
      <c r="AC64" s="35">
        <v>136.38</v>
      </c>
      <c r="AD64" s="35">
        <v>2250.27</v>
      </c>
      <c r="AE64" s="35"/>
      <c r="AF64" s="20"/>
      <c r="AG64" s="34"/>
      <c r="AH64" s="35"/>
      <c r="AI64" s="35"/>
      <c r="AJ64" s="35"/>
      <c r="AK64" s="20"/>
      <c r="AL64" s="34"/>
      <c r="AM64" s="35"/>
      <c r="AN64" s="35"/>
      <c r="AO64" s="20"/>
    </row>
    <row r="65" spans="1:41">
      <c r="A65" s="30">
        <v>4</v>
      </c>
      <c r="B65" s="66" t="s">
        <v>82</v>
      </c>
      <c r="C65" s="66"/>
      <c r="D65" s="67" t="s">
        <v>68</v>
      </c>
      <c r="E65" s="67" t="s">
        <v>69</v>
      </c>
      <c r="F65" s="8">
        <v>410</v>
      </c>
      <c r="G65" s="8">
        <f>13*4.546</f>
        <v>59.098000000000006</v>
      </c>
      <c r="H65" s="34">
        <v>2.5</v>
      </c>
      <c r="I65" s="35">
        <v>145</v>
      </c>
      <c r="J65" s="35">
        <v>991</v>
      </c>
      <c r="K65" s="35"/>
      <c r="L65" s="20"/>
      <c r="M65" s="42">
        <v>1.5</v>
      </c>
      <c r="N65" s="35">
        <v>36</v>
      </c>
      <c r="O65" s="6">
        <v>1446</v>
      </c>
      <c r="P65" s="6"/>
      <c r="Q65" s="20"/>
      <c r="R65" s="42">
        <v>0.25</v>
      </c>
      <c r="S65" s="6">
        <v>8</v>
      </c>
      <c r="T65" s="6">
        <v>1923</v>
      </c>
      <c r="U65" s="6"/>
      <c r="V65" s="20"/>
      <c r="W65" s="20">
        <v>0.25</v>
      </c>
      <c r="X65" s="6">
        <v>8</v>
      </c>
      <c r="Y65" s="6">
        <v>1946</v>
      </c>
      <c r="Z65" s="6"/>
      <c r="AA65" s="20"/>
      <c r="AB65" s="34">
        <v>0.25</v>
      </c>
      <c r="AC65" s="35">
        <v>8</v>
      </c>
      <c r="AD65" s="35">
        <v>1938</v>
      </c>
      <c r="AE65" s="35"/>
      <c r="AF65" s="20"/>
      <c r="AG65" s="34"/>
      <c r="AH65" s="35"/>
      <c r="AI65" s="35"/>
      <c r="AJ65" s="35"/>
      <c r="AK65" s="20"/>
      <c r="AL65" s="34"/>
      <c r="AM65" s="35"/>
      <c r="AN65" s="35"/>
      <c r="AO65" s="20"/>
    </row>
    <row r="66" spans="1:41">
      <c r="A66" s="30">
        <v>5</v>
      </c>
      <c r="B66" s="66" t="s">
        <v>83</v>
      </c>
      <c r="C66" s="66"/>
      <c r="D66" s="67" t="s">
        <v>68</v>
      </c>
      <c r="E66" s="67" t="s">
        <v>69</v>
      </c>
      <c r="F66" s="8">
        <v>350</v>
      </c>
      <c r="G66" s="8">
        <f>12*4.546</f>
        <v>54.552000000000007</v>
      </c>
      <c r="H66" s="34">
        <v>3</v>
      </c>
      <c r="I66" s="35">
        <v>81</v>
      </c>
      <c r="J66" s="35">
        <v>225</v>
      </c>
      <c r="K66" s="35"/>
      <c r="L66" s="20"/>
      <c r="M66" s="42">
        <v>3</v>
      </c>
      <c r="N66" s="35">
        <v>81</v>
      </c>
      <c r="O66" s="6">
        <v>675</v>
      </c>
      <c r="P66" s="6"/>
      <c r="Q66" s="20"/>
      <c r="R66" s="42">
        <v>7.42</v>
      </c>
      <c r="S66" s="6">
        <v>196</v>
      </c>
      <c r="T66" s="6">
        <v>450</v>
      </c>
      <c r="U66" s="6"/>
      <c r="V66" s="20"/>
      <c r="W66" s="20">
        <v>10</v>
      </c>
      <c r="X66" s="6">
        <v>270</v>
      </c>
      <c r="Y66" s="6">
        <v>247</v>
      </c>
      <c r="Z66" s="6"/>
      <c r="AA66" s="20"/>
      <c r="AB66" s="34">
        <v>12</v>
      </c>
      <c r="AC66" s="35">
        <v>324</v>
      </c>
      <c r="AD66" s="35">
        <v>585</v>
      </c>
      <c r="AE66" s="35"/>
      <c r="AF66" s="20"/>
      <c r="AG66" s="34"/>
      <c r="AH66" s="35"/>
      <c r="AI66" s="35"/>
      <c r="AJ66" s="35"/>
      <c r="AK66" s="20"/>
      <c r="AL66" s="34"/>
      <c r="AM66" s="35"/>
      <c r="AN66" s="35"/>
      <c r="AO66" s="20"/>
    </row>
    <row r="67" spans="1:41">
      <c r="A67" s="30">
        <v>6</v>
      </c>
      <c r="B67" s="66" t="s">
        <v>54</v>
      </c>
      <c r="C67" s="66"/>
      <c r="D67" s="67" t="s">
        <v>68</v>
      </c>
      <c r="E67" s="67" t="s">
        <v>69</v>
      </c>
      <c r="F67" s="8">
        <v>350</v>
      </c>
      <c r="G67" s="8">
        <f>12*4.546</f>
        <v>54.552000000000007</v>
      </c>
      <c r="H67" s="34">
        <v>4</v>
      </c>
      <c r="I67" s="35">
        <f>26*4.546</f>
        <v>118.19600000000001</v>
      </c>
      <c r="J67" s="35">
        <v>1816</v>
      </c>
      <c r="K67" s="35"/>
      <c r="L67" s="20"/>
      <c r="M67" s="42">
        <v>4.25</v>
      </c>
      <c r="N67" s="35">
        <f>30*4.546</f>
        <v>136.38</v>
      </c>
      <c r="O67" s="6">
        <v>1589</v>
      </c>
      <c r="P67" s="6"/>
      <c r="Q67" s="20"/>
      <c r="R67" s="42">
        <v>3</v>
      </c>
      <c r="S67" s="6" t="s">
        <v>84</v>
      </c>
      <c r="T67" s="6">
        <v>1666</v>
      </c>
      <c r="U67" s="6"/>
      <c r="V67" s="20"/>
      <c r="W67" s="20">
        <v>8</v>
      </c>
      <c r="X67" s="6">
        <v>258</v>
      </c>
      <c r="Y67" s="6">
        <v>1407</v>
      </c>
      <c r="Z67" s="6"/>
      <c r="AA67" s="20"/>
      <c r="AB67" s="34">
        <v>5</v>
      </c>
      <c r="AC67" s="35">
        <v>32</v>
      </c>
      <c r="AD67" s="35">
        <v>1376</v>
      </c>
      <c r="AE67" s="35"/>
      <c r="AF67" s="20"/>
      <c r="AG67" s="34"/>
      <c r="AH67" s="35"/>
      <c r="AI67" s="35"/>
      <c r="AJ67" s="35"/>
      <c r="AK67" s="20"/>
      <c r="AL67" s="34"/>
      <c r="AM67" s="35"/>
      <c r="AN67" s="35"/>
      <c r="AO67" s="20"/>
    </row>
    <row r="68" spans="1:41">
      <c r="A68" s="30">
        <v>7</v>
      </c>
      <c r="B68" s="66" t="s">
        <v>85</v>
      </c>
      <c r="C68" s="66"/>
      <c r="D68" s="67" t="s">
        <v>68</v>
      </c>
      <c r="E68" s="67" t="s">
        <v>69</v>
      </c>
      <c r="F68" s="8">
        <v>315</v>
      </c>
      <c r="G68" s="8">
        <f>12*4.546</f>
        <v>54.552000000000007</v>
      </c>
      <c r="H68" s="34">
        <v>0.67</v>
      </c>
      <c r="I68" s="35">
        <v>13</v>
      </c>
      <c r="J68" s="35">
        <v>1336</v>
      </c>
      <c r="K68" s="35"/>
      <c r="L68" s="20"/>
      <c r="M68" s="42">
        <v>0.67</v>
      </c>
      <c r="N68" s="35">
        <v>27</v>
      </c>
      <c r="O68" s="6">
        <v>1336</v>
      </c>
      <c r="P68" s="6"/>
      <c r="Q68" s="20"/>
      <c r="R68" s="6" t="s">
        <v>84</v>
      </c>
      <c r="S68" s="6" t="s">
        <v>84</v>
      </c>
      <c r="T68" s="6">
        <v>1336</v>
      </c>
      <c r="U68" s="6"/>
      <c r="V68" s="20"/>
      <c r="W68" s="20">
        <v>0.83</v>
      </c>
      <c r="X68" s="6">
        <v>13</v>
      </c>
      <c r="Y68" s="6">
        <v>1336</v>
      </c>
      <c r="Z68" s="6"/>
      <c r="AA68" s="20"/>
      <c r="AB68" s="34">
        <v>0.25</v>
      </c>
      <c r="AC68" s="35">
        <v>4</v>
      </c>
      <c r="AD68" s="35">
        <v>1563</v>
      </c>
      <c r="AE68" s="35"/>
      <c r="AF68" s="20"/>
      <c r="AG68" s="34"/>
      <c r="AH68" s="35"/>
      <c r="AI68" s="35"/>
      <c r="AJ68" s="35"/>
      <c r="AK68" s="20"/>
      <c r="AL68" s="34"/>
      <c r="AM68" s="35"/>
      <c r="AN68" s="35"/>
      <c r="AO68" s="20"/>
    </row>
    <row r="69" spans="1:41">
      <c r="A69" s="30">
        <v>8</v>
      </c>
      <c r="B69" s="66" t="s">
        <v>86</v>
      </c>
      <c r="C69" s="66"/>
      <c r="D69" s="67" t="s">
        <v>68</v>
      </c>
      <c r="E69" s="67" t="s">
        <v>69</v>
      </c>
      <c r="F69" s="8">
        <v>160</v>
      </c>
      <c r="G69" s="8">
        <f>7*4.546</f>
        <v>31.822000000000003</v>
      </c>
      <c r="H69" s="34">
        <v>2.15</v>
      </c>
      <c r="I69" s="35">
        <v>32</v>
      </c>
      <c r="J69" s="35">
        <v>1354</v>
      </c>
      <c r="K69" s="35"/>
      <c r="L69" s="20"/>
      <c r="M69" s="42">
        <v>1</v>
      </c>
      <c r="N69" s="35">
        <v>18.18</v>
      </c>
      <c r="O69" s="6">
        <v>1309</v>
      </c>
      <c r="P69" s="6"/>
      <c r="Q69" s="20"/>
      <c r="R69" s="42">
        <v>4</v>
      </c>
      <c r="S69" s="6">
        <v>45.46</v>
      </c>
      <c r="T69" s="6">
        <v>1263</v>
      </c>
      <c r="U69" s="6"/>
      <c r="V69" s="20"/>
      <c r="W69" s="20">
        <v>1</v>
      </c>
      <c r="X69" s="6">
        <v>274</v>
      </c>
      <c r="Y69" s="6">
        <v>1245</v>
      </c>
      <c r="Z69" s="6"/>
      <c r="AA69" s="20"/>
      <c r="AB69" s="6" t="s">
        <v>84</v>
      </c>
      <c r="AC69" s="6" t="s">
        <v>84</v>
      </c>
      <c r="AD69" s="35">
        <v>1245</v>
      </c>
      <c r="AE69" s="35"/>
      <c r="AF69" s="20"/>
      <c r="AG69" s="34"/>
      <c r="AH69" s="35"/>
      <c r="AI69" s="35"/>
      <c r="AJ69" s="35"/>
      <c r="AK69" s="20"/>
      <c r="AL69" s="34"/>
      <c r="AM69" s="35"/>
      <c r="AN69" s="35"/>
      <c r="AO69" s="20"/>
    </row>
    <row r="70" spans="1:41">
      <c r="A70" s="69">
        <v>9</v>
      </c>
      <c r="B70" s="70" t="s">
        <v>87</v>
      </c>
      <c r="C70" s="70"/>
      <c r="D70" s="71" t="s">
        <v>68</v>
      </c>
      <c r="E70" s="71" t="s">
        <v>69</v>
      </c>
      <c r="F70" s="72">
        <v>410</v>
      </c>
      <c r="G70" s="72">
        <f>13*4.546</f>
        <v>59.098000000000006</v>
      </c>
      <c r="H70" s="73">
        <f>1+(34/60)</f>
        <v>1.5666666666666667</v>
      </c>
      <c r="I70" s="74">
        <v>59</v>
      </c>
      <c r="J70" s="74">
        <v>1180</v>
      </c>
      <c r="K70" s="74"/>
      <c r="L70" s="75"/>
      <c r="M70" s="42">
        <f>1+(33/60)</f>
        <v>1.55</v>
      </c>
      <c r="N70" s="74">
        <v>81</v>
      </c>
      <c r="O70" s="76">
        <v>1416</v>
      </c>
      <c r="P70" s="76"/>
      <c r="Q70" s="75"/>
      <c r="R70" s="42">
        <v>0</v>
      </c>
      <c r="S70" s="76">
        <v>0</v>
      </c>
      <c r="T70" s="76">
        <v>1416</v>
      </c>
      <c r="U70" s="76"/>
      <c r="V70" s="75"/>
      <c r="W70" s="75">
        <f>1+(56/60)</f>
        <v>1.9333333333333333</v>
      </c>
      <c r="X70" s="76">
        <v>45</v>
      </c>
      <c r="Y70" s="76">
        <v>1407</v>
      </c>
      <c r="Z70" s="76"/>
      <c r="AA70" s="75"/>
      <c r="AB70" s="73">
        <v>0</v>
      </c>
      <c r="AC70" s="74">
        <v>0</v>
      </c>
      <c r="AD70" s="74">
        <v>1407</v>
      </c>
      <c r="AE70" s="74"/>
      <c r="AF70" s="75"/>
      <c r="AG70" s="73"/>
      <c r="AH70" s="74"/>
      <c r="AI70" s="74"/>
      <c r="AJ70" s="74"/>
      <c r="AK70" s="75"/>
      <c r="AL70" s="73"/>
      <c r="AM70" s="74"/>
      <c r="AN70" s="74"/>
      <c r="AO70" s="75"/>
    </row>
    <row r="71" spans="1:41">
      <c r="A71" s="30">
        <v>10</v>
      </c>
      <c r="B71" s="66" t="s">
        <v>88</v>
      </c>
      <c r="C71" s="66"/>
      <c r="D71" s="67" t="s">
        <v>68</v>
      </c>
      <c r="E71" s="67" t="s">
        <v>69</v>
      </c>
      <c r="F71" s="8">
        <v>250</v>
      </c>
      <c r="G71" s="8">
        <v>45</v>
      </c>
      <c r="H71" s="34">
        <v>1</v>
      </c>
      <c r="I71" s="35">
        <v>20</v>
      </c>
      <c r="J71" s="35">
        <v>2310</v>
      </c>
      <c r="K71" s="35"/>
      <c r="L71" s="20"/>
      <c r="M71" s="42">
        <v>2</v>
      </c>
      <c r="N71" s="35">
        <v>30</v>
      </c>
      <c r="O71" s="6">
        <v>2280</v>
      </c>
      <c r="P71" s="6"/>
      <c r="Q71" s="20"/>
      <c r="R71" s="42">
        <v>0</v>
      </c>
      <c r="S71" s="6">
        <v>0</v>
      </c>
      <c r="T71" s="6">
        <v>2280</v>
      </c>
      <c r="U71" s="6"/>
      <c r="V71" s="20"/>
      <c r="W71" s="42">
        <v>0</v>
      </c>
      <c r="X71" s="6">
        <v>0</v>
      </c>
      <c r="Y71" s="6">
        <v>2280</v>
      </c>
      <c r="Z71" s="6"/>
      <c r="AA71" s="20"/>
      <c r="AB71" s="34">
        <v>0</v>
      </c>
      <c r="AC71" s="35">
        <v>0</v>
      </c>
      <c r="AD71" s="35">
        <v>2500</v>
      </c>
      <c r="AE71" s="35"/>
      <c r="AF71" s="20"/>
      <c r="AG71" s="34"/>
      <c r="AH71" s="35"/>
      <c r="AI71" s="35"/>
      <c r="AJ71" s="35"/>
      <c r="AK71" s="20"/>
      <c r="AL71" s="34"/>
      <c r="AM71" s="35"/>
      <c r="AN71" s="35"/>
      <c r="AO71" s="20"/>
    </row>
    <row r="72" spans="1:41">
      <c r="A72" s="30">
        <v>11</v>
      </c>
      <c r="B72" s="66" t="s">
        <v>89</v>
      </c>
      <c r="C72" s="66"/>
      <c r="D72" s="67"/>
      <c r="E72" s="67"/>
      <c r="F72" s="8">
        <v>410</v>
      </c>
      <c r="G72" s="8">
        <f>13*4.546</f>
        <v>59.098000000000006</v>
      </c>
      <c r="H72" s="34">
        <v>4</v>
      </c>
      <c r="I72" s="35">
        <f>25*4.546</f>
        <v>113.65</v>
      </c>
      <c r="J72" s="35">
        <v>1097</v>
      </c>
      <c r="K72" s="35"/>
      <c r="L72" s="20"/>
      <c r="M72" s="42">
        <v>4.1500000000000004</v>
      </c>
      <c r="N72" s="35">
        <f>30*4.546</f>
        <v>136.38</v>
      </c>
      <c r="O72" s="6">
        <v>984</v>
      </c>
      <c r="P72" s="6"/>
      <c r="Q72" s="20"/>
      <c r="R72" s="42">
        <v>1.33</v>
      </c>
      <c r="S72" s="6">
        <v>42</v>
      </c>
      <c r="T72" s="6">
        <v>946</v>
      </c>
      <c r="U72" s="6"/>
      <c r="V72" s="20"/>
      <c r="W72" s="20">
        <v>8.75</v>
      </c>
      <c r="X72" s="6">
        <v>227</v>
      </c>
      <c r="Y72" s="6">
        <v>719</v>
      </c>
      <c r="Z72" s="6"/>
      <c r="AA72" s="20"/>
      <c r="AB72" s="34">
        <v>5.5</v>
      </c>
      <c r="AC72" s="35">
        <v>151</v>
      </c>
      <c r="AD72" s="35">
        <v>568</v>
      </c>
      <c r="AE72" s="35"/>
      <c r="AF72" s="20"/>
      <c r="AG72" s="34"/>
      <c r="AH72" s="35"/>
      <c r="AI72" s="35"/>
      <c r="AJ72" s="35"/>
      <c r="AK72" s="20"/>
      <c r="AL72" s="34"/>
      <c r="AM72" s="35"/>
      <c r="AN72" s="35"/>
      <c r="AO72" s="20"/>
    </row>
    <row r="73" spans="1:41">
      <c r="A73" s="30">
        <v>12</v>
      </c>
      <c r="B73" s="66" t="s">
        <v>90</v>
      </c>
      <c r="C73" s="66"/>
      <c r="D73" s="67" t="s">
        <v>68</v>
      </c>
      <c r="E73" s="67" t="s">
        <v>69</v>
      </c>
      <c r="F73" s="8">
        <v>350</v>
      </c>
      <c r="G73" s="8">
        <v>54</v>
      </c>
      <c r="H73" s="34">
        <v>3</v>
      </c>
      <c r="I73" s="35">
        <v>160.6</v>
      </c>
      <c r="J73" s="35">
        <v>2243</v>
      </c>
      <c r="K73" s="35"/>
      <c r="L73" s="20"/>
      <c r="M73" s="42">
        <v>2.92</v>
      </c>
      <c r="N73" s="35">
        <v>156.30000000000001</v>
      </c>
      <c r="O73" s="6">
        <v>2087</v>
      </c>
      <c r="P73" s="6"/>
      <c r="Q73" s="20"/>
      <c r="R73" s="42">
        <v>0.67</v>
      </c>
      <c r="S73" s="6">
        <v>40</v>
      </c>
      <c r="T73" s="6">
        <v>2274</v>
      </c>
      <c r="U73" s="6"/>
      <c r="V73" s="20"/>
      <c r="W73" s="20">
        <v>7.08</v>
      </c>
      <c r="X73" s="6">
        <v>354</v>
      </c>
      <c r="Y73" s="6">
        <v>1919</v>
      </c>
      <c r="Z73" s="6"/>
      <c r="AA73" s="20"/>
      <c r="AB73" s="34">
        <v>0.5</v>
      </c>
      <c r="AC73" s="35">
        <v>25</v>
      </c>
      <c r="AD73" s="35">
        <v>2121</v>
      </c>
      <c r="AE73" s="35"/>
      <c r="AF73" s="20"/>
      <c r="AG73" s="34"/>
      <c r="AH73" s="35"/>
      <c r="AI73" s="35"/>
      <c r="AJ73" s="35"/>
      <c r="AK73" s="20"/>
      <c r="AL73" s="34"/>
      <c r="AM73" s="35"/>
      <c r="AN73" s="35"/>
      <c r="AO73" s="20"/>
    </row>
    <row r="74" spans="1:41">
      <c r="A74" s="30">
        <v>13</v>
      </c>
      <c r="B74" s="77" t="s">
        <v>91</v>
      </c>
      <c r="C74" s="77" t="s">
        <v>57</v>
      </c>
      <c r="D74" s="67" t="s">
        <v>68</v>
      </c>
      <c r="E74" s="67" t="s">
        <v>69</v>
      </c>
      <c r="F74" s="8">
        <v>150</v>
      </c>
      <c r="G74" s="8">
        <v>32</v>
      </c>
      <c r="H74" s="42">
        <v>0.15</v>
      </c>
      <c r="I74" s="43">
        <v>0.5</v>
      </c>
      <c r="J74" s="43">
        <v>677</v>
      </c>
      <c r="K74" s="43"/>
      <c r="L74" s="20"/>
      <c r="M74" s="42">
        <v>0.15</v>
      </c>
      <c r="N74" s="44">
        <v>0.5</v>
      </c>
      <c r="O74" s="6">
        <v>677</v>
      </c>
      <c r="P74" s="6"/>
      <c r="Q74" s="20"/>
      <c r="R74" s="42">
        <v>0.15</v>
      </c>
      <c r="S74" s="6">
        <v>0.5</v>
      </c>
      <c r="T74" s="6">
        <v>677</v>
      </c>
      <c r="U74" s="6"/>
      <c r="V74" s="20"/>
      <c r="W74" s="20">
        <v>0.15</v>
      </c>
      <c r="X74" s="6">
        <v>1</v>
      </c>
      <c r="Y74" s="6">
        <v>677</v>
      </c>
      <c r="Z74" s="6"/>
      <c r="AA74" s="20"/>
      <c r="AB74" s="42">
        <v>1.08</v>
      </c>
      <c r="AC74" s="43">
        <v>20</v>
      </c>
      <c r="AD74" s="43">
        <v>677</v>
      </c>
      <c r="AE74" s="43"/>
      <c r="AF74" s="20"/>
      <c r="AG74" s="42"/>
      <c r="AH74" s="43"/>
      <c r="AI74" s="43"/>
      <c r="AJ74" s="43"/>
      <c r="AK74" s="20"/>
      <c r="AL74" s="42"/>
      <c r="AM74" s="43"/>
      <c r="AN74" s="43"/>
      <c r="AO74" s="20"/>
    </row>
    <row r="75" spans="1:41">
      <c r="A75" s="30">
        <v>14</v>
      </c>
      <c r="B75" s="66" t="s">
        <v>92</v>
      </c>
      <c r="C75" s="66"/>
      <c r="D75" s="67" t="s">
        <v>68</v>
      </c>
      <c r="E75" s="67" t="s">
        <v>69</v>
      </c>
      <c r="F75" s="8">
        <v>60</v>
      </c>
      <c r="G75" s="8">
        <f>4*4.546</f>
        <v>18.184000000000001</v>
      </c>
      <c r="H75" s="42">
        <v>2</v>
      </c>
      <c r="I75" s="43">
        <v>30</v>
      </c>
      <c r="J75" s="43">
        <v>1369</v>
      </c>
      <c r="K75" s="43"/>
      <c r="L75" s="20"/>
      <c r="M75" s="42">
        <v>0.67</v>
      </c>
      <c r="N75" s="44">
        <v>7</v>
      </c>
      <c r="O75" s="6">
        <v>1369</v>
      </c>
      <c r="P75" s="6"/>
      <c r="Q75" s="20"/>
      <c r="R75" s="42">
        <v>5.5</v>
      </c>
      <c r="S75" s="6">
        <v>56</v>
      </c>
      <c r="T75" s="6">
        <v>1260</v>
      </c>
      <c r="U75" s="6"/>
      <c r="V75" s="20"/>
      <c r="W75" s="20">
        <v>11</v>
      </c>
      <c r="X75" s="6">
        <v>122</v>
      </c>
      <c r="Y75" s="6">
        <v>1482</v>
      </c>
      <c r="Z75" s="6"/>
      <c r="AA75" s="20"/>
      <c r="AB75" s="42">
        <v>8.33</v>
      </c>
      <c r="AC75" s="43">
        <v>53.6</v>
      </c>
      <c r="AD75" s="43">
        <v>1419</v>
      </c>
      <c r="AE75" s="43"/>
      <c r="AF75" s="20"/>
      <c r="AG75" s="42"/>
      <c r="AH75" s="43"/>
      <c r="AI75" s="43"/>
      <c r="AJ75" s="43"/>
      <c r="AK75" s="20"/>
      <c r="AL75" s="42"/>
      <c r="AM75" s="43"/>
      <c r="AN75" s="43"/>
      <c r="AO75" s="20"/>
    </row>
    <row r="76" spans="1:41" ht="25.5">
      <c r="A76" s="30">
        <v>15</v>
      </c>
      <c r="B76" s="66" t="s">
        <v>93</v>
      </c>
      <c r="C76" s="66"/>
      <c r="D76" s="67" t="s">
        <v>68</v>
      </c>
      <c r="E76" s="67" t="s">
        <v>69</v>
      </c>
      <c r="F76" s="8">
        <v>60</v>
      </c>
      <c r="G76" s="8">
        <f>4*4.546</f>
        <v>18.184000000000001</v>
      </c>
      <c r="H76" s="42">
        <v>7</v>
      </c>
      <c r="I76" s="43">
        <v>36</v>
      </c>
      <c r="J76" s="43">
        <v>1260</v>
      </c>
      <c r="K76" s="43"/>
      <c r="L76" s="20"/>
      <c r="M76" s="42">
        <v>2</v>
      </c>
      <c r="N76" s="44">
        <v>14</v>
      </c>
      <c r="O76" s="6">
        <v>1246</v>
      </c>
      <c r="P76" s="6"/>
      <c r="Q76" s="20"/>
      <c r="R76" s="42">
        <v>5.45</v>
      </c>
      <c r="S76" s="6">
        <v>9</v>
      </c>
      <c r="T76" s="6">
        <v>1237.5</v>
      </c>
      <c r="U76" s="6"/>
      <c r="V76" s="20"/>
      <c r="W76" s="20">
        <v>8</v>
      </c>
      <c r="X76" s="6">
        <v>67.5</v>
      </c>
      <c r="Y76" s="6">
        <v>1386</v>
      </c>
      <c r="Z76" s="6"/>
      <c r="AA76" s="20"/>
      <c r="AB76" s="42">
        <v>6</v>
      </c>
      <c r="AC76" s="43">
        <v>18</v>
      </c>
      <c r="AD76" s="43">
        <v>1368</v>
      </c>
      <c r="AE76" s="43"/>
      <c r="AF76" s="20"/>
      <c r="AG76" s="42"/>
      <c r="AH76" s="43"/>
      <c r="AI76" s="43"/>
      <c r="AJ76" s="43"/>
      <c r="AK76" s="20"/>
      <c r="AL76" s="42"/>
      <c r="AM76" s="43"/>
      <c r="AN76" s="43"/>
      <c r="AO76" s="20"/>
    </row>
    <row r="77" spans="1:41">
      <c r="A77" s="30">
        <v>16</v>
      </c>
      <c r="B77" s="66" t="s">
        <v>94</v>
      </c>
      <c r="C77" s="66"/>
      <c r="D77" s="67"/>
      <c r="E77" s="67"/>
      <c r="F77" s="8">
        <v>80</v>
      </c>
      <c r="G77" s="8">
        <f>5*4.546</f>
        <v>22.73</v>
      </c>
      <c r="H77" s="42">
        <v>8</v>
      </c>
      <c r="I77" s="43">
        <v>55</v>
      </c>
      <c r="J77" s="43">
        <v>949</v>
      </c>
      <c r="K77" s="43"/>
      <c r="L77" s="20"/>
      <c r="M77" s="42">
        <v>6.3</v>
      </c>
      <c r="N77" s="44">
        <v>55</v>
      </c>
      <c r="O77" s="6">
        <v>935</v>
      </c>
      <c r="P77" s="6"/>
      <c r="Q77" s="20"/>
      <c r="R77" s="42">
        <v>5</v>
      </c>
      <c r="S77" s="6">
        <v>51</v>
      </c>
      <c r="T77" s="6">
        <v>906</v>
      </c>
      <c r="U77" s="6"/>
      <c r="V77" s="20"/>
      <c r="W77" s="20">
        <v>7.7</v>
      </c>
      <c r="X77" s="6">
        <v>38</v>
      </c>
      <c r="Y77" s="6">
        <v>871</v>
      </c>
      <c r="Z77" s="6"/>
      <c r="AA77" s="20"/>
      <c r="AB77" s="42">
        <v>3.2</v>
      </c>
      <c r="AC77" s="43">
        <v>27</v>
      </c>
      <c r="AD77" s="43">
        <v>844</v>
      </c>
      <c r="AE77" s="43"/>
      <c r="AF77" s="20"/>
      <c r="AG77" s="42"/>
      <c r="AH77" s="43"/>
      <c r="AI77" s="43"/>
      <c r="AJ77" s="43"/>
      <c r="AK77" s="20"/>
      <c r="AL77" s="42"/>
      <c r="AM77" s="43"/>
      <c r="AN77" s="43"/>
      <c r="AO77" s="20"/>
    </row>
    <row r="78" spans="1:41">
      <c r="A78" s="30">
        <v>17</v>
      </c>
      <c r="B78" s="66" t="s">
        <v>95</v>
      </c>
      <c r="C78" s="66"/>
      <c r="D78" s="67"/>
      <c r="E78" s="67"/>
      <c r="F78" s="8">
        <v>60</v>
      </c>
      <c r="G78" s="8">
        <f>4*4.546</f>
        <v>18.184000000000001</v>
      </c>
      <c r="H78" s="42">
        <v>4</v>
      </c>
      <c r="I78" s="43">
        <v>36</v>
      </c>
      <c r="J78" s="43">
        <v>1180</v>
      </c>
      <c r="K78" s="43"/>
      <c r="L78" s="20"/>
      <c r="M78" s="42">
        <v>2</v>
      </c>
      <c r="N78" s="44">
        <v>45</v>
      </c>
      <c r="O78" s="6">
        <v>1135</v>
      </c>
      <c r="P78" s="6"/>
      <c r="Q78" s="20"/>
      <c r="R78" s="42">
        <v>4</v>
      </c>
      <c r="S78" s="6">
        <v>0</v>
      </c>
      <c r="T78" s="6">
        <v>1453</v>
      </c>
      <c r="U78" s="6"/>
      <c r="V78" s="20"/>
      <c r="W78" s="20">
        <v>15</v>
      </c>
      <c r="X78" s="6">
        <v>91</v>
      </c>
      <c r="Y78" s="6">
        <v>1362</v>
      </c>
      <c r="Z78" s="6"/>
      <c r="AA78" s="20"/>
      <c r="AB78" s="42">
        <v>2</v>
      </c>
      <c r="AC78" s="43">
        <v>46</v>
      </c>
      <c r="AD78" s="43">
        <v>1316</v>
      </c>
      <c r="AE78" s="43"/>
      <c r="AF78" s="20"/>
      <c r="AG78" s="42"/>
      <c r="AH78" s="43"/>
      <c r="AI78" s="43"/>
      <c r="AJ78" s="43"/>
      <c r="AK78" s="20"/>
      <c r="AL78" s="42"/>
      <c r="AM78" s="43"/>
      <c r="AN78" s="43"/>
      <c r="AO78" s="20"/>
    </row>
    <row r="79" spans="1:41" ht="25.5">
      <c r="A79" s="30">
        <v>18</v>
      </c>
      <c r="B79" s="66" t="s">
        <v>96</v>
      </c>
      <c r="C79" s="66"/>
      <c r="D79" s="67"/>
      <c r="E79" s="67"/>
      <c r="F79" s="8">
        <v>80</v>
      </c>
      <c r="G79" s="8">
        <f>5*4.546</f>
        <v>22.73</v>
      </c>
      <c r="H79" s="42">
        <v>5.3</v>
      </c>
      <c r="I79" s="43">
        <v>51</v>
      </c>
      <c r="J79" s="43">
        <v>703</v>
      </c>
      <c r="K79" s="43"/>
      <c r="L79" s="20"/>
      <c r="M79" s="42">
        <v>6.18</v>
      </c>
      <c r="N79" s="44">
        <v>58</v>
      </c>
      <c r="O79" s="6">
        <v>625</v>
      </c>
      <c r="P79" s="6"/>
      <c r="Q79" s="20"/>
      <c r="R79" s="42">
        <v>4</v>
      </c>
      <c r="S79" s="6">
        <v>35</v>
      </c>
      <c r="T79" s="6">
        <v>590</v>
      </c>
      <c r="U79" s="6"/>
      <c r="V79" s="20"/>
      <c r="W79" s="20">
        <v>0</v>
      </c>
      <c r="X79" s="6">
        <v>0</v>
      </c>
      <c r="Y79" s="6">
        <v>590</v>
      </c>
      <c r="Z79" s="6"/>
      <c r="AA79" s="20"/>
      <c r="AB79" s="42">
        <v>1.45</v>
      </c>
      <c r="AC79" s="43">
        <v>25</v>
      </c>
      <c r="AD79" s="43">
        <v>813</v>
      </c>
      <c r="AE79" s="43"/>
      <c r="AF79" s="20"/>
      <c r="AG79" s="42"/>
      <c r="AH79" s="43"/>
      <c r="AI79" s="43"/>
      <c r="AJ79" s="43"/>
      <c r="AK79" s="20"/>
      <c r="AL79" s="42"/>
      <c r="AM79" s="43"/>
      <c r="AN79" s="43"/>
      <c r="AO79" s="20"/>
    </row>
    <row r="80" spans="1:41">
      <c r="A80" s="30">
        <v>19</v>
      </c>
      <c r="B80" s="66" t="s">
        <v>97</v>
      </c>
      <c r="C80" s="66"/>
      <c r="D80" s="67"/>
      <c r="E80" s="67"/>
      <c r="F80" s="8">
        <v>100</v>
      </c>
      <c r="G80" s="8">
        <f>5*4.546</f>
        <v>22.73</v>
      </c>
      <c r="H80" s="42">
        <v>3</v>
      </c>
      <c r="I80" s="43">
        <v>116</v>
      </c>
      <c r="J80" s="43">
        <v>1357</v>
      </c>
      <c r="K80" s="43"/>
      <c r="L80" s="20"/>
      <c r="M80" s="42">
        <v>3</v>
      </c>
      <c r="N80" s="44">
        <v>25</v>
      </c>
      <c r="O80" s="6">
        <v>1332</v>
      </c>
      <c r="P80" s="6"/>
      <c r="Q80" s="20"/>
      <c r="R80" s="42">
        <v>8</v>
      </c>
      <c r="S80" s="6">
        <v>64</v>
      </c>
      <c r="T80" s="6">
        <v>1268</v>
      </c>
      <c r="U80" s="6"/>
      <c r="V80" s="20"/>
      <c r="W80" s="20">
        <v>9</v>
      </c>
      <c r="X80" s="6">
        <v>89</v>
      </c>
      <c r="Y80" s="6">
        <v>1179</v>
      </c>
      <c r="Z80" s="6"/>
      <c r="AA80" s="20"/>
      <c r="AB80" s="42">
        <v>9.5</v>
      </c>
      <c r="AC80" s="43">
        <v>80</v>
      </c>
      <c r="AD80" s="43">
        <v>1099</v>
      </c>
      <c r="AE80" s="43"/>
      <c r="AF80" s="20"/>
      <c r="AG80" s="42"/>
      <c r="AH80" s="43"/>
      <c r="AI80" s="43"/>
      <c r="AJ80" s="43"/>
      <c r="AK80" s="20"/>
      <c r="AL80" s="42"/>
      <c r="AM80" s="43"/>
      <c r="AN80" s="43"/>
      <c r="AO80" s="20"/>
    </row>
    <row r="81" spans="1:41">
      <c r="A81" s="30">
        <v>20</v>
      </c>
      <c r="B81" s="66" t="s">
        <v>98</v>
      </c>
      <c r="C81" s="66"/>
      <c r="D81" s="67"/>
      <c r="E81" s="67"/>
      <c r="F81" s="8">
        <v>150</v>
      </c>
      <c r="G81" s="8">
        <v>32</v>
      </c>
      <c r="H81" s="42">
        <v>3</v>
      </c>
      <c r="I81" s="43">
        <v>50</v>
      </c>
      <c r="J81" s="43"/>
      <c r="K81" s="43"/>
      <c r="L81" s="20"/>
      <c r="M81" s="42">
        <v>3</v>
      </c>
      <c r="N81" s="44">
        <v>30</v>
      </c>
      <c r="O81" s="6">
        <v>1090</v>
      </c>
      <c r="P81" s="6"/>
      <c r="Q81" s="20"/>
      <c r="R81" s="42">
        <v>8</v>
      </c>
      <c r="S81" s="6">
        <v>80</v>
      </c>
      <c r="T81" s="6">
        <v>1010</v>
      </c>
      <c r="U81" s="6"/>
      <c r="V81" s="20"/>
      <c r="W81" s="20">
        <v>14.3</v>
      </c>
      <c r="X81" s="6">
        <v>118</v>
      </c>
      <c r="Y81" s="6">
        <v>892</v>
      </c>
      <c r="Z81" s="6"/>
      <c r="AA81" s="20"/>
      <c r="AB81" s="42">
        <v>6</v>
      </c>
      <c r="AC81" s="43">
        <v>63</v>
      </c>
      <c r="AD81" s="43">
        <v>1047</v>
      </c>
      <c r="AE81" s="43"/>
      <c r="AF81" s="20"/>
      <c r="AG81" s="42"/>
      <c r="AH81" s="43"/>
      <c r="AI81" s="43"/>
      <c r="AJ81" s="43"/>
      <c r="AK81" s="20"/>
      <c r="AL81" s="42"/>
      <c r="AM81" s="43"/>
      <c r="AN81" s="43"/>
      <c r="AO81" s="20"/>
    </row>
    <row r="82" spans="1:41">
      <c r="A82" s="30">
        <v>21</v>
      </c>
      <c r="B82" s="66" t="s">
        <v>99</v>
      </c>
      <c r="C82" s="66"/>
      <c r="D82" s="67" t="s">
        <v>68</v>
      </c>
      <c r="E82" s="67" t="s">
        <v>69</v>
      </c>
      <c r="F82" s="8">
        <v>100</v>
      </c>
      <c r="G82" s="8">
        <v>22</v>
      </c>
      <c r="H82" s="42">
        <v>0</v>
      </c>
      <c r="I82" s="43">
        <v>0</v>
      </c>
      <c r="J82" s="43">
        <v>1278</v>
      </c>
      <c r="K82" s="43"/>
      <c r="L82" s="20"/>
      <c r="M82" s="42">
        <v>1.2</v>
      </c>
      <c r="N82" s="44">
        <v>15</v>
      </c>
      <c r="O82" s="6">
        <v>1263</v>
      </c>
      <c r="P82" s="6"/>
      <c r="Q82" s="20"/>
      <c r="R82" s="42">
        <v>0</v>
      </c>
      <c r="S82" s="6">
        <v>0</v>
      </c>
      <c r="T82" s="6">
        <v>1263</v>
      </c>
      <c r="U82" s="6"/>
      <c r="V82" s="20"/>
      <c r="W82" s="20">
        <v>2</v>
      </c>
      <c r="X82" s="6">
        <v>18</v>
      </c>
      <c r="Y82" s="6">
        <v>1245</v>
      </c>
      <c r="Z82" s="6"/>
      <c r="AA82" s="20"/>
      <c r="AB82" s="42">
        <v>0</v>
      </c>
      <c r="AC82" s="43">
        <v>0</v>
      </c>
      <c r="AD82" s="43">
        <v>1245</v>
      </c>
      <c r="AE82" s="43"/>
      <c r="AF82" s="20"/>
      <c r="AG82" s="42"/>
      <c r="AH82" s="43"/>
      <c r="AI82" s="43"/>
      <c r="AJ82" s="43"/>
      <c r="AK82" s="20"/>
      <c r="AL82" s="42"/>
      <c r="AM82" s="43"/>
      <c r="AN82" s="43"/>
      <c r="AO82" s="20"/>
    </row>
    <row r="83" spans="1:41">
      <c r="A83" s="30">
        <v>22</v>
      </c>
      <c r="B83" s="66" t="s">
        <v>100</v>
      </c>
      <c r="C83" s="66"/>
      <c r="D83" s="78"/>
      <c r="E83" s="78"/>
      <c r="F83" s="8">
        <v>100</v>
      </c>
      <c r="G83" s="8">
        <v>22</v>
      </c>
      <c r="H83" s="42">
        <v>13.23</v>
      </c>
      <c r="I83" s="43">
        <v>242</v>
      </c>
      <c r="J83" s="43">
        <v>197</v>
      </c>
      <c r="K83" s="43"/>
      <c r="L83" s="20"/>
      <c r="M83" s="42">
        <v>5</v>
      </c>
      <c r="N83" s="44">
        <v>60</v>
      </c>
      <c r="O83" s="6">
        <v>117</v>
      </c>
      <c r="P83" s="6"/>
      <c r="Q83" s="20"/>
      <c r="R83" s="42">
        <v>5</v>
      </c>
      <c r="S83" s="6">
        <v>88</v>
      </c>
      <c r="T83" s="6">
        <v>147</v>
      </c>
      <c r="U83" s="6"/>
      <c r="V83" s="20"/>
      <c r="W83" s="20">
        <v>11</v>
      </c>
      <c r="X83" s="6">
        <v>144</v>
      </c>
      <c r="Y83" s="6">
        <v>247</v>
      </c>
      <c r="Z83" s="6"/>
      <c r="AA83" s="20"/>
      <c r="AB83" s="42">
        <v>8</v>
      </c>
      <c r="AC83" s="43">
        <v>100</v>
      </c>
      <c r="AD83" s="43">
        <v>221</v>
      </c>
      <c r="AE83" s="43"/>
      <c r="AF83" s="20"/>
      <c r="AG83" s="42"/>
      <c r="AH83" s="43"/>
      <c r="AI83" s="43"/>
      <c r="AJ83" s="43"/>
      <c r="AK83" s="20"/>
      <c r="AL83" s="42"/>
      <c r="AM83" s="43"/>
      <c r="AN83" s="43"/>
      <c r="AO83" s="20"/>
    </row>
    <row r="84" spans="1:41">
      <c r="A84" s="30"/>
      <c r="B84" s="66"/>
      <c r="C84" s="66"/>
      <c r="D84" s="78"/>
      <c r="E84" s="78"/>
      <c r="F84" s="8"/>
      <c r="G84" s="8"/>
      <c r="H84" s="42"/>
      <c r="I84" s="43"/>
      <c r="J84" s="43"/>
      <c r="K84" s="43"/>
      <c r="L84" s="20"/>
      <c r="M84" s="65"/>
      <c r="N84" s="44"/>
      <c r="O84" s="6"/>
      <c r="P84" s="6"/>
      <c r="Q84" s="20"/>
      <c r="R84" s="20"/>
      <c r="S84" s="6"/>
      <c r="T84" s="6"/>
      <c r="U84" s="6"/>
      <c r="V84" s="20"/>
      <c r="W84" s="20"/>
      <c r="X84" s="6"/>
      <c r="Y84" s="6"/>
      <c r="Z84" s="6"/>
      <c r="AA84" s="20"/>
      <c r="AB84" s="42"/>
      <c r="AC84" s="43"/>
      <c r="AD84" s="43"/>
      <c r="AE84" s="43"/>
      <c r="AF84" s="20"/>
      <c r="AG84" s="42"/>
      <c r="AH84" s="43"/>
      <c r="AI84" s="43"/>
      <c r="AJ84" s="43"/>
      <c r="AK84" s="20"/>
      <c r="AL84" s="42"/>
      <c r="AM84" s="43"/>
      <c r="AN84" s="43"/>
      <c r="AO84" s="20"/>
    </row>
    <row r="85" spans="1:41">
      <c r="A85" s="30"/>
      <c r="B85" s="66"/>
      <c r="C85" s="66"/>
      <c r="D85" s="78"/>
      <c r="E85" s="78"/>
      <c r="F85" s="8"/>
      <c r="G85" s="8"/>
      <c r="H85" s="19">
        <f>SUM(H62:H83)</f>
        <v>70.816666666666663</v>
      </c>
      <c r="I85" s="79">
        <f t="shared" ref="I85" si="0">SUM(I62:I83)</f>
        <v>1448.9459999999999</v>
      </c>
      <c r="J85" s="79">
        <f>SUM(J62:J83)</f>
        <v>26126.04</v>
      </c>
      <c r="K85" s="79"/>
      <c r="L85" s="19"/>
      <c r="M85" s="19">
        <f>SUM(M62:M83)</f>
        <v>59.290000000000006</v>
      </c>
      <c r="N85" s="79">
        <f t="shared" ref="N85" si="1">SUM(N62:N83)</f>
        <v>1293.1320000000001</v>
      </c>
      <c r="O85" s="79">
        <f>SUM(O62:O83)</f>
        <v>28105.239999999998</v>
      </c>
      <c r="P85" s="79"/>
      <c r="Q85" s="19"/>
      <c r="R85" s="19">
        <f>SUM(R62:R83)</f>
        <v>68.069999999999993</v>
      </c>
      <c r="S85" s="79">
        <f>SUM(S62:S83)</f>
        <v>911.33999999999992</v>
      </c>
      <c r="T85" s="79">
        <f>SUM(T62:T83)</f>
        <v>28992.52</v>
      </c>
      <c r="U85" s="79"/>
      <c r="V85" s="19"/>
      <c r="W85" s="19">
        <f>SUM(W62:W83)</f>
        <v>126.04333333333332</v>
      </c>
      <c r="X85" s="79">
        <f>SUM(X62:X83)</f>
        <v>2478.4499999999998</v>
      </c>
      <c r="Y85" s="79">
        <f>SUM(Y62:Y83)</f>
        <v>27677.61</v>
      </c>
      <c r="Z85" s="79"/>
      <c r="AA85" s="19"/>
      <c r="AB85" s="19">
        <f>SUM(AB62:AB83)</f>
        <v>72.710000000000008</v>
      </c>
      <c r="AC85" s="79">
        <f t="shared" ref="AC85" si="2">SUM(AC62:AC83)</f>
        <v>1112.98</v>
      </c>
      <c r="AD85" s="79">
        <f>SUM(AD62:AD83)</f>
        <v>28365.309999999998</v>
      </c>
      <c r="AE85" s="79"/>
      <c r="AF85" s="20"/>
      <c r="AG85" s="19">
        <f>SUM(AG62:AG83)</f>
        <v>0</v>
      </c>
      <c r="AH85" s="79">
        <f t="shared" ref="AH85" si="3">SUM(AH62:AH83)</f>
        <v>0</v>
      </c>
      <c r="AI85" s="79">
        <f>SUM(AI62:AI83)</f>
        <v>0</v>
      </c>
      <c r="AJ85" s="79"/>
      <c r="AK85" s="20"/>
      <c r="AL85" s="19">
        <f>SUM(AL62:AL83)</f>
        <v>0</v>
      </c>
      <c r="AM85" s="79">
        <f t="shared" ref="AM85" si="4">SUM(AM62:AM83)</f>
        <v>0</v>
      </c>
      <c r="AN85" s="79">
        <f>SUM(AN62:AN83)</f>
        <v>0</v>
      </c>
      <c r="AO85" s="20"/>
    </row>
    <row r="86" spans="1:41">
      <c r="A86" s="28"/>
      <c r="B86" s="20"/>
      <c r="C86" s="20"/>
      <c r="D86" s="80"/>
      <c r="E86" s="80"/>
      <c r="F86" s="6"/>
      <c r="G86" s="6"/>
      <c r="H86" s="20"/>
      <c r="I86" s="6"/>
      <c r="J86" s="6"/>
      <c r="K86" s="6"/>
      <c r="L86" s="20"/>
      <c r="M86" s="20"/>
      <c r="N86" s="6"/>
      <c r="O86" s="6"/>
      <c r="P86" s="6"/>
      <c r="Q86" s="20"/>
      <c r="R86" s="20"/>
      <c r="S86" s="6"/>
      <c r="T86" s="6"/>
      <c r="U86" s="6"/>
      <c r="V86" s="20"/>
      <c r="W86" s="20"/>
      <c r="X86" s="6"/>
      <c r="Y86" s="6"/>
      <c r="Z86" s="6"/>
      <c r="AA86" s="20"/>
      <c r="AB86" s="20"/>
      <c r="AC86" s="6"/>
      <c r="AD86" s="6"/>
      <c r="AE86" s="6"/>
      <c r="AF86" s="20"/>
      <c r="AG86" s="20"/>
      <c r="AH86" s="6"/>
      <c r="AI86" s="6"/>
      <c r="AJ86" s="6"/>
      <c r="AK86" s="20"/>
      <c r="AL86" s="20"/>
      <c r="AM86" s="6"/>
      <c r="AN86" s="6"/>
      <c r="AO86" s="20"/>
    </row>
    <row r="87" spans="1:41">
      <c r="A87" s="30">
        <v>23</v>
      </c>
      <c r="B87" s="66" t="s">
        <v>101</v>
      </c>
      <c r="C87" s="66" t="s">
        <v>20</v>
      </c>
      <c r="D87" s="78"/>
      <c r="E87" s="78"/>
      <c r="F87" s="8">
        <v>350</v>
      </c>
      <c r="G87" s="8">
        <f>12*4.5</f>
        <v>54</v>
      </c>
      <c r="H87" s="42">
        <v>1</v>
      </c>
      <c r="I87" s="44">
        <v>25</v>
      </c>
      <c r="J87" s="44">
        <v>1000</v>
      </c>
      <c r="K87" s="44"/>
      <c r="L87" s="81"/>
      <c r="M87" s="42">
        <v>5.6</v>
      </c>
      <c r="N87" s="44">
        <v>127</v>
      </c>
      <c r="O87" s="6">
        <v>1000</v>
      </c>
      <c r="P87" s="6"/>
      <c r="Q87" s="20"/>
      <c r="R87" s="42"/>
      <c r="S87" s="6"/>
      <c r="T87" s="6"/>
      <c r="U87" s="6"/>
      <c r="V87" s="20"/>
      <c r="W87" s="20"/>
      <c r="X87" s="6"/>
      <c r="Y87" s="6"/>
      <c r="Z87" s="6"/>
      <c r="AA87" s="20"/>
      <c r="AB87" s="42"/>
      <c r="AC87" s="44"/>
      <c r="AD87" s="44"/>
      <c r="AE87" s="44"/>
      <c r="AF87" s="20"/>
      <c r="AG87" s="42"/>
      <c r="AH87" s="44"/>
      <c r="AI87" s="44"/>
      <c r="AJ87" s="44"/>
      <c r="AK87" s="20"/>
      <c r="AL87" s="42"/>
      <c r="AM87" s="44"/>
      <c r="AN87" s="44"/>
      <c r="AO87" s="20"/>
    </row>
    <row r="88" spans="1:41">
      <c r="A88" s="30">
        <v>24</v>
      </c>
      <c r="B88" s="66" t="s">
        <v>101</v>
      </c>
      <c r="C88" s="66"/>
      <c r="D88" s="78"/>
      <c r="E88" s="78"/>
      <c r="F88" s="8">
        <v>165</v>
      </c>
      <c r="G88" s="8">
        <f>7*4.5</f>
        <v>31.5</v>
      </c>
      <c r="H88" s="42">
        <v>0</v>
      </c>
      <c r="I88" s="44">
        <v>0</v>
      </c>
      <c r="J88" s="44"/>
      <c r="K88" s="44"/>
      <c r="L88" s="81"/>
      <c r="M88" s="42"/>
      <c r="N88" s="44"/>
      <c r="O88" s="6"/>
      <c r="P88" s="6"/>
      <c r="Q88" s="20"/>
      <c r="R88" s="42"/>
      <c r="S88" s="6"/>
      <c r="T88" s="6"/>
      <c r="U88" s="6"/>
      <c r="V88" s="20"/>
      <c r="W88" s="20"/>
      <c r="X88" s="6"/>
      <c r="Y88" s="6"/>
      <c r="Z88" s="6"/>
      <c r="AA88" s="20"/>
      <c r="AB88" s="42"/>
      <c r="AC88" s="44"/>
      <c r="AD88" s="44"/>
      <c r="AE88" s="44"/>
      <c r="AF88" s="20"/>
      <c r="AG88" s="42"/>
      <c r="AH88" s="44"/>
      <c r="AI88" s="44"/>
      <c r="AJ88" s="44"/>
      <c r="AK88" s="20"/>
      <c r="AL88" s="42"/>
      <c r="AM88" s="44"/>
      <c r="AN88" s="44"/>
      <c r="AO88" s="20"/>
    </row>
    <row r="89" spans="1:41">
      <c r="A89" s="30">
        <v>25</v>
      </c>
      <c r="B89" s="66" t="s">
        <v>102</v>
      </c>
      <c r="C89" s="66" t="s">
        <v>20</v>
      </c>
      <c r="D89" s="67" t="s">
        <v>68</v>
      </c>
      <c r="E89" s="67" t="s">
        <v>69</v>
      </c>
      <c r="F89" s="8">
        <v>550</v>
      </c>
      <c r="G89" s="8">
        <f>16*4.5</f>
        <v>72</v>
      </c>
      <c r="H89" s="42">
        <v>0.25</v>
      </c>
      <c r="I89" s="44">
        <v>9</v>
      </c>
      <c r="J89" s="44">
        <v>3409</v>
      </c>
      <c r="K89" s="44"/>
      <c r="L89" s="81"/>
      <c r="M89" s="42">
        <v>5.28</v>
      </c>
      <c r="N89" s="44">
        <v>192</v>
      </c>
      <c r="O89" s="6">
        <v>3409</v>
      </c>
      <c r="P89" s="6"/>
      <c r="Q89" s="20"/>
      <c r="R89" s="42">
        <v>4</v>
      </c>
      <c r="S89" s="6">
        <v>145</v>
      </c>
      <c r="T89" s="6">
        <v>3182</v>
      </c>
      <c r="U89" s="6"/>
      <c r="V89" s="20"/>
      <c r="W89" s="20">
        <v>9.16</v>
      </c>
      <c r="X89" s="6">
        <v>297</v>
      </c>
      <c r="Y89" s="6">
        <v>3273</v>
      </c>
      <c r="Z89" s="6"/>
      <c r="AA89" s="20"/>
      <c r="AB89" s="42">
        <v>7.6</v>
      </c>
      <c r="AC89" s="44">
        <v>278</v>
      </c>
      <c r="AD89" s="44">
        <v>2864</v>
      </c>
      <c r="AE89" s="44"/>
      <c r="AF89" s="20"/>
      <c r="AG89" s="42"/>
      <c r="AH89" s="44"/>
      <c r="AI89" s="44"/>
      <c r="AJ89" s="44"/>
      <c r="AK89" s="20"/>
      <c r="AL89" s="42"/>
      <c r="AM89" s="44"/>
      <c r="AN89" s="44"/>
      <c r="AO89" s="20"/>
    </row>
    <row r="90" spans="1:41">
      <c r="A90" s="30">
        <v>26</v>
      </c>
      <c r="B90" s="66" t="s">
        <v>102</v>
      </c>
      <c r="C90" s="66" t="s">
        <v>20</v>
      </c>
      <c r="D90" s="67" t="s">
        <v>68</v>
      </c>
      <c r="E90" s="67" t="s">
        <v>69</v>
      </c>
      <c r="F90" s="8">
        <v>220</v>
      </c>
      <c r="G90" s="8">
        <v>36</v>
      </c>
      <c r="H90" s="42">
        <v>0</v>
      </c>
      <c r="I90" s="44">
        <v>0</v>
      </c>
      <c r="J90" s="44"/>
      <c r="K90" s="44"/>
      <c r="L90" s="81"/>
      <c r="M90" s="42"/>
      <c r="N90" s="44"/>
      <c r="O90" s="6"/>
      <c r="P90" s="6"/>
      <c r="Q90" s="20"/>
      <c r="R90" s="42"/>
      <c r="S90" s="6"/>
      <c r="T90" s="6"/>
      <c r="U90" s="6"/>
      <c r="V90" s="20"/>
      <c r="W90" s="20"/>
      <c r="X90" s="6"/>
      <c r="Y90" s="6"/>
      <c r="Z90" s="6"/>
      <c r="AA90" s="20"/>
      <c r="AB90" s="42"/>
      <c r="AC90" s="44"/>
      <c r="AD90" s="44"/>
      <c r="AE90" s="44"/>
      <c r="AF90" s="20"/>
      <c r="AG90" s="42"/>
      <c r="AH90" s="44"/>
      <c r="AI90" s="44"/>
      <c r="AJ90" s="44"/>
      <c r="AK90" s="20"/>
      <c r="AL90" s="42"/>
      <c r="AM90" s="44"/>
      <c r="AN90" s="44"/>
      <c r="AO90" s="20"/>
    </row>
    <row r="91" spans="1:41" ht="25.5">
      <c r="A91" s="30">
        <v>27</v>
      </c>
      <c r="B91" s="66" t="s">
        <v>103</v>
      </c>
      <c r="C91" s="66"/>
      <c r="D91" s="78"/>
      <c r="E91" s="78"/>
      <c r="F91" s="8">
        <v>550</v>
      </c>
      <c r="G91" s="8">
        <f>16*4.5</f>
        <v>72</v>
      </c>
      <c r="H91" s="42">
        <v>0.57999999999999996</v>
      </c>
      <c r="I91" s="44">
        <v>22.73</v>
      </c>
      <c r="J91" s="44">
        <v>16209.338</v>
      </c>
      <c r="K91" s="44"/>
      <c r="L91" s="81"/>
      <c r="M91" s="42">
        <v>0</v>
      </c>
      <c r="N91" s="44">
        <v>0</v>
      </c>
      <c r="O91" s="44">
        <v>16209.338</v>
      </c>
      <c r="P91" s="44"/>
      <c r="Q91" s="20"/>
      <c r="R91" s="42">
        <v>0</v>
      </c>
      <c r="S91" s="6">
        <v>0</v>
      </c>
      <c r="T91" s="6">
        <v>16209</v>
      </c>
      <c r="U91" s="6"/>
      <c r="V91" s="20"/>
      <c r="W91" s="20">
        <v>0</v>
      </c>
      <c r="X91" s="6">
        <v>0</v>
      </c>
      <c r="Y91" s="6">
        <v>16209</v>
      </c>
      <c r="Z91" s="6"/>
      <c r="AA91" s="20"/>
      <c r="AB91" s="42">
        <v>1</v>
      </c>
      <c r="AC91" s="44">
        <v>54.552</v>
      </c>
      <c r="AD91" s="44">
        <v>16154</v>
      </c>
      <c r="AE91" s="44"/>
      <c r="AF91" s="20"/>
      <c r="AG91" s="42"/>
      <c r="AH91" s="44"/>
      <c r="AI91" s="44"/>
      <c r="AJ91" s="44"/>
      <c r="AK91" s="20"/>
      <c r="AL91" s="42"/>
      <c r="AM91" s="44"/>
      <c r="AN91" s="44"/>
      <c r="AO91" s="20"/>
    </row>
    <row r="92" spans="1:41" ht="25.5">
      <c r="A92" s="30">
        <v>28</v>
      </c>
      <c r="B92" s="66" t="s">
        <v>103</v>
      </c>
      <c r="C92" s="66"/>
      <c r="D92" s="78"/>
      <c r="E92" s="78"/>
      <c r="F92" s="8">
        <v>275</v>
      </c>
      <c r="G92" s="8">
        <f>10*4.5</f>
        <v>45</v>
      </c>
      <c r="H92" s="42">
        <v>0</v>
      </c>
      <c r="I92" s="44">
        <v>0</v>
      </c>
      <c r="J92" s="44"/>
      <c r="K92" s="44"/>
      <c r="L92" s="81"/>
      <c r="M92" s="42">
        <v>0</v>
      </c>
      <c r="N92" s="44">
        <v>0</v>
      </c>
      <c r="O92" s="6"/>
      <c r="P92" s="6"/>
      <c r="Q92" s="20"/>
      <c r="R92" s="42">
        <v>0</v>
      </c>
      <c r="S92" s="6">
        <v>0</v>
      </c>
      <c r="T92" s="6"/>
      <c r="U92" s="6"/>
      <c r="V92" s="20"/>
      <c r="W92" s="20">
        <v>0</v>
      </c>
      <c r="X92" s="6">
        <v>0</v>
      </c>
      <c r="Y92" s="6"/>
      <c r="Z92" s="6"/>
      <c r="AA92" s="20"/>
      <c r="AB92" s="42">
        <v>0</v>
      </c>
      <c r="AC92" s="44">
        <v>0</v>
      </c>
      <c r="AD92" s="44"/>
      <c r="AE92" s="44"/>
      <c r="AF92" s="20"/>
      <c r="AG92" s="42"/>
      <c r="AH92" s="44"/>
      <c r="AI92" s="44"/>
      <c r="AJ92" s="44"/>
      <c r="AK92" s="20"/>
      <c r="AL92" s="42"/>
      <c r="AM92" s="44"/>
      <c r="AN92" s="44"/>
      <c r="AO92" s="20"/>
    </row>
    <row r="93" spans="1:41">
      <c r="A93" s="30"/>
      <c r="B93" s="66"/>
      <c r="C93" s="66"/>
      <c r="D93" s="78"/>
      <c r="E93" s="78"/>
      <c r="F93" s="8"/>
      <c r="G93" s="8"/>
      <c r="H93" s="82">
        <f>SUM(H87:H92)</f>
        <v>1.83</v>
      </c>
      <c r="I93" s="83">
        <f t="shared" ref="I93" si="5">SUM(I87:I92)</f>
        <v>56.730000000000004</v>
      </c>
      <c r="J93" s="83">
        <f>SUM(J87:J92)</f>
        <v>20618.338</v>
      </c>
      <c r="K93" s="83"/>
      <c r="L93" s="82"/>
      <c r="M93" s="82">
        <f>SUM(M87:M92)</f>
        <v>10.879999999999999</v>
      </c>
      <c r="N93" s="83">
        <f t="shared" ref="N93" si="6">SUM(N87:N92)</f>
        <v>319</v>
      </c>
      <c r="O93" s="83">
        <f>SUM(O87:O92)</f>
        <v>20618.338</v>
      </c>
      <c r="P93" s="83"/>
      <c r="Q93" s="19"/>
      <c r="R93" s="82">
        <f>SUM(R87:R92)</f>
        <v>4</v>
      </c>
      <c r="S93" s="83">
        <f>SUM(S87:S92)</f>
        <v>145</v>
      </c>
      <c r="T93" s="83">
        <f>SUM(T87:T92)</f>
        <v>19391</v>
      </c>
      <c r="U93" s="83"/>
      <c r="V93" s="19"/>
      <c r="W93" s="82">
        <f>SUM(W87:W92)</f>
        <v>9.16</v>
      </c>
      <c r="X93" s="83">
        <f>SUM(X87:X92)</f>
        <v>297</v>
      </c>
      <c r="Y93" s="83">
        <f>SUM(Y87:Y92)</f>
        <v>19482</v>
      </c>
      <c r="Z93" s="83"/>
      <c r="AA93" s="19"/>
      <c r="AB93" s="82">
        <f>SUM(AB87:AB92)</f>
        <v>8.6</v>
      </c>
      <c r="AC93" s="83">
        <f t="shared" ref="AC93" si="7">SUM(AC87:AC92)</f>
        <v>332.55200000000002</v>
      </c>
      <c r="AD93" s="83">
        <f>SUM(AD87:AD92)</f>
        <v>19018</v>
      </c>
      <c r="AE93" s="83"/>
      <c r="AF93" s="20"/>
      <c r="AG93" s="82">
        <f>SUM(AG87:AG92)</f>
        <v>0</v>
      </c>
      <c r="AH93" s="83">
        <f t="shared" ref="AH93" si="8">SUM(AH87:AH92)</f>
        <v>0</v>
      </c>
      <c r="AI93" s="83">
        <f>SUM(AI87:AI92)</f>
        <v>0</v>
      </c>
      <c r="AJ93" s="83"/>
      <c r="AK93" s="20"/>
      <c r="AL93" s="82">
        <f>SUM(AL87:AL92)</f>
        <v>0</v>
      </c>
      <c r="AM93" s="83">
        <f t="shared" ref="AM93" si="9">SUM(AM87:AM92)</f>
        <v>0</v>
      </c>
      <c r="AN93" s="83">
        <f>SUM(AN87:AN92)</f>
        <v>0</v>
      </c>
      <c r="AO93" s="20"/>
    </row>
    <row r="94" spans="1:41">
      <c r="A94" s="30"/>
      <c r="B94" s="66"/>
      <c r="C94" s="66"/>
      <c r="D94" s="78"/>
      <c r="E94" s="78"/>
      <c r="F94" s="8"/>
      <c r="G94" s="8"/>
      <c r="H94" s="65"/>
      <c r="I94" s="44"/>
      <c r="J94" s="44"/>
      <c r="K94" s="44"/>
      <c r="L94" s="81"/>
      <c r="M94" s="65"/>
      <c r="N94" s="44"/>
      <c r="O94" s="6"/>
      <c r="P94" s="6"/>
      <c r="Q94" s="20"/>
      <c r="R94" s="20"/>
      <c r="S94" s="6"/>
      <c r="T94" s="6"/>
      <c r="U94" s="6"/>
      <c r="V94" s="20"/>
      <c r="W94" s="20"/>
      <c r="X94" s="6"/>
      <c r="Y94" s="6"/>
      <c r="Z94" s="6"/>
      <c r="AA94" s="20"/>
      <c r="AB94" s="65"/>
      <c r="AC94" s="44"/>
      <c r="AD94" s="44"/>
      <c r="AE94" s="44"/>
      <c r="AF94" s="20"/>
      <c r="AG94" s="65"/>
      <c r="AH94" s="44"/>
      <c r="AI94" s="44"/>
      <c r="AJ94" s="44"/>
      <c r="AK94" s="20"/>
      <c r="AL94" s="65"/>
      <c r="AM94" s="44"/>
      <c r="AN94" s="44"/>
      <c r="AO94" s="20"/>
    </row>
    <row r="95" spans="1:41">
      <c r="A95" s="30">
        <v>29</v>
      </c>
      <c r="B95" s="66" t="s">
        <v>104</v>
      </c>
      <c r="C95" s="66"/>
      <c r="D95" s="78"/>
      <c r="E95" s="78"/>
      <c r="F95" s="8">
        <v>700</v>
      </c>
      <c r="G95" s="8">
        <f>21*4.5</f>
        <v>94.5</v>
      </c>
      <c r="H95" s="65">
        <v>1.1299999999999999</v>
      </c>
      <c r="I95" s="44">
        <v>45</v>
      </c>
      <c r="J95" s="44"/>
      <c r="K95" s="44"/>
      <c r="L95" s="81"/>
      <c r="M95" s="42">
        <v>2.12</v>
      </c>
      <c r="N95" s="44">
        <f>2*45</f>
        <v>90</v>
      </c>
      <c r="O95" s="6"/>
      <c r="P95" s="6"/>
      <c r="Q95" s="20"/>
      <c r="R95" s="42"/>
      <c r="S95" s="6"/>
      <c r="T95" s="6"/>
      <c r="U95" s="6"/>
      <c r="V95" s="20"/>
      <c r="W95" s="20"/>
      <c r="X95" s="6"/>
      <c r="Y95" s="6"/>
      <c r="Z95" s="6"/>
      <c r="AA95" s="20"/>
      <c r="AB95" s="65"/>
      <c r="AC95" s="44"/>
      <c r="AD95" s="44"/>
      <c r="AE95" s="44"/>
      <c r="AF95" s="20"/>
      <c r="AG95" s="65"/>
      <c r="AH95" s="44"/>
      <c r="AI95" s="44"/>
      <c r="AJ95" s="44"/>
      <c r="AK95" s="20"/>
      <c r="AL95" s="65"/>
      <c r="AM95" s="44"/>
      <c r="AN95" s="44"/>
      <c r="AO95" s="20"/>
    </row>
    <row r="96" spans="1:41">
      <c r="A96" s="30">
        <v>30</v>
      </c>
      <c r="B96" s="66" t="s">
        <v>104</v>
      </c>
      <c r="C96" s="66"/>
      <c r="D96" s="78"/>
      <c r="E96" s="78"/>
      <c r="F96" s="8">
        <v>60</v>
      </c>
      <c r="G96" s="8">
        <v>12</v>
      </c>
      <c r="H96" s="65">
        <v>0</v>
      </c>
      <c r="I96" s="44">
        <v>0</v>
      </c>
      <c r="J96" s="44"/>
      <c r="K96" s="44"/>
      <c r="L96" s="81"/>
      <c r="M96" s="42">
        <v>0</v>
      </c>
      <c r="N96" s="44">
        <v>0</v>
      </c>
      <c r="O96" s="6"/>
      <c r="P96" s="6"/>
      <c r="Q96" s="20"/>
      <c r="R96" s="42"/>
      <c r="S96" s="6"/>
      <c r="T96" s="6"/>
      <c r="U96" s="6"/>
      <c r="V96" s="20"/>
      <c r="W96" s="20"/>
      <c r="X96" s="6"/>
      <c r="Y96" s="6"/>
      <c r="Z96" s="6"/>
      <c r="AA96" s="20"/>
      <c r="AB96" s="65"/>
      <c r="AC96" s="44"/>
      <c r="AD96" s="44"/>
      <c r="AE96" s="44"/>
      <c r="AF96" s="20"/>
      <c r="AG96" s="65"/>
      <c r="AH96" s="44"/>
      <c r="AI96" s="44"/>
      <c r="AJ96" s="44"/>
      <c r="AK96" s="20"/>
      <c r="AL96" s="65"/>
      <c r="AM96" s="44"/>
      <c r="AN96" s="44"/>
      <c r="AO96" s="20"/>
    </row>
    <row r="97" spans="1:41" ht="25.5">
      <c r="A97" s="30">
        <v>31</v>
      </c>
      <c r="B97" s="66" t="s">
        <v>105</v>
      </c>
      <c r="C97" s="66"/>
      <c r="D97" s="78"/>
      <c r="E97" s="78"/>
      <c r="F97" s="8"/>
      <c r="G97" s="8"/>
      <c r="H97" s="65">
        <v>0</v>
      </c>
      <c r="I97" s="44">
        <v>0</v>
      </c>
      <c r="J97" s="44"/>
      <c r="K97" s="44"/>
      <c r="L97" s="81"/>
      <c r="M97" s="42">
        <v>0</v>
      </c>
      <c r="N97" s="44">
        <v>0</v>
      </c>
      <c r="O97" s="6"/>
      <c r="P97" s="6"/>
      <c r="Q97" s="20"/>
      <c r="R97" s="42"/>
      <c r="S97" s="6"/>
      <c r="T97" s="6"/>
      <c r="U97" s="6"/>
      <c r="V97" s="20"/>
      <c r="W97" s="20"/>
      <c r="X97" s="6"/>
      <c r="Y97" s="6"/>
      <c r="Z97" s="6"/>
      <c r="AA97" s="20"/>
      <c r="AB97" s="65"/>
      <c r="AC97" s="44"/>
      <c r="AD97" s="44"/>
      <c r="AE97" s="44"/>
      <c r="AF97" s="20"/>
      <c r="AG97" s="65"/>
      <c r="AH97" s="44"/>
      <c r="AI97" s="44"/>
      <c r="AJ97" s="44"/>
      <c r="AK97" s="20"/>
      <c r="AL97" s="65"/>
      <c r="AM97" s="44"/>
      <c r="AN97" s="44"/>
      <c r="AO97" s="20"/>
    </row>
    <row r="98" spans="1:41">
      <c r="A98" s="30"/>
      <c r="B98" s="66"/>
      <c r="C98" s="66"/>
      <c r="D98" s="78"/>
      <c r="E98" s="78"/>
      <c r="F98" s="8"/>
      <c r="G98" s="8"/>
      <c r="H98" s="82">
        <f>SUM(H95:H97)</f>
        <v>1.1299999999999999</v>
      </c>
      <c r="I98" s="83">
        <f t="shared" ref="I98" si="10">SUM(I95:I97)</f>
        <v>45</v>
      </c>
      <c r="J98" s="83">
        <f>SUM(J95:J97)</f>
        <v>0</v>
      </c>
      <c r="K98" s="83"/>
      <c r="L98" s="82"/>
      <c r="M98" s="82">
        <f>SUM(M95:M97)</f>
        <v>2.12</v>
      </c>
      <c r="N98" s="83">
        <f t="shared" ref="N98" si="11">SUM(N95:N97)</f>
        <v>90</v>
      </c>
      <c r="O98" s="83">
        <f>SUM(O95:O97)</f>
        <v>0</v>
      </c>
      <c r="P98" s="83"/>
      <c r="Q98" s="19"/>
      <c r="R98" s="82">
        <f>SUM(R95:R97)</f>
        <v>0</v>
      </c>
      <c r="S98" s="83">
        <f>SUM(S95:S97)</f>
        <v>0</v>
      </c>
      <c r="T98" s="83">
        <f>SUM(T95:T97)</f>
        <v>0</v>
      </c>
      <c r="U98" s="83"/>
      <c r="V98" s="19"/>
      <c r="W98" s="82">
        <f>SUM(W95:W97)</f>
        <v>0</v>
      </c>
      <c r="X98" s="83">
        <f>SUM(X95:X97)</f>
        <v>0</v>
      </c>
      <c r="Y98" s="83">
        <f>SUM(Y95:Y97)</f>
        <v>0</v>
      </c>
      <c r="Z98" s="83"/>
      <c r="AA98" s="19"/>
      <c r="AB98" s="82">
        <f>SUM(AB95:AB97)</f>
        <v>0</v>
      </c>
      <c r="AC98" s="83">
        <f t="shared" ref="AC98" si="12">SUM(AC95:AC97)</f>
        <v>0</v>
      </c>
      <c r="AD98" s="83">
        <f>SUM(AD95:AD97)</f>
        <v>0</v>
      </c>
      <c r="AE98" s="83"/>
      <c r="AF98" s="20"/>
      <c r="AG98" s="82">
        <f>SUM(AG95:AG97)</f>
        <v>0</v>
      </c>
      <c r="AH98" s="83">
        <f t="shared" ref="AH98" si="13">SUM(AH95:AH97)</f>
        <v>0</v>
      </c>
      <c r="AI98" s="83">
        <f>SUM(AI95:AI97)</f>
        <v>0</v>
      </c>
      <c r="AJ98" s="83"/>
      <c r="AK98" s="20"/>
      <c r="AL98" s="82">
        <f>SUM(AL95:AL97)</f>
        <v>0</v>
      </c>
      <c r="AM98" s="83">
        <f t="shared" ref="AM98" si="14">SUM(AM95:AM97)</f>
        <v>0</v>
      </c>
      <c r="AN98" s="83">
        <f>SUM(AN95:AN97)</f>
        <v>0</v>
      </c>
      <c r="AO98" s="20"/>
    </row>
    <row r="99" spans="1:41">
      <c r="A99" s="30"/>
      <c r="B99" s="66"/>
      <c r="C99" s="66"/>
      <c r="D99" s="78"/>
      <c r="E99" s="78"/>
      <c r="F99" s="8"/>
      <c r="G99" s="8"/>
      <c r="H99" s="65"/>
      <c r="I99" s="44"/>
      <c r="J99" s="44"/>
      <c r="K99" s="44"/>
      <c r="L99" s="81"/>
      <c r="M99" s="65"/>
      <c r="N99" s="44"/>
      <c r="O99" s="6"/>
      <c r="P99" s="6"/>
      <c r="Q99" s="20"/>
      <c r="R99" s="20"/>
      <c r="S99" s="6"/>
      <c r="T99" s="6"/>
      <c r="U99" s="6"/>
      <c r="V99" s="20"/>
      <c r="W99" s="20"/>
      <c r="X99" s="6"/>
      <c r="Y99" s="6"/>
      <c r="Z99" s="6"/>
      <c r="AA99" s="20"/>
      <c r="AB99" s="65"/>
      <c r="AC99" s="44"/>
      <c r="AD99" s="44"/>
      <c r="AE99" s="44"/>
      <c r="AF99" s="20"/>
      <c r="AG99" s="65"/>
      <c r="AH99" s="44"/>
      <c r="AI99" s="44"/>
      <c r="AJ99" s="44"/>
      <c r="AK99" s="20"/>
      <c r="AL99" s="65"/>
      <c r="AM99" s="44"/>
      <c r="AN99" s="44"/>
      <c r="AO99" s="20"/>
    </row>
    <row r="100" spans="1:41" ht="38.25">
      <c r="A100" s="30">
        <v>32</v>
      </c>
      <c r="B100" s="66" t="s">
        <v>106</v>
      </c>
      <c r="C100" s="66"/>
      <c r="D100" s="80"/>
      <c r="E100" s="80"/>
      <c r="F100" s="6"/>
      <c r="G100" s="6"/>
      <c r="H100" s="65">
        <v>0</v>
      </c>
      <c r="I100" s="44">
        <v>180</v>
      </c>
      <c r="J100" s="44"/>
      <c r="K100" s="44"/>
      <c r="L100" s="81"/>
      <c r="M100" s="42">
        <v>0</v>
      </c>
      <c r="N100" s="44">
        <v>40</v>
      </c>
      <c r="O100" s="6"/>
      <c r="P100" s="6"/>
      <c r="Q100" s="20"/>
      <c r="R100" s="20"/>
      <c r="S100" s="6"/>
      <c r="T100" s="6"/>
      <c r="U100" s="6"/>
      <c r="V100" s="20"/>
      <c r="W100" s="20"/>
      <c r="X100" s="6"/>
      <c r="Y100" s="6"/>
      <c r="Z100" s="6"/>
      <c r="AA100" s="20"/>
      <c r="AB100" s="65"/>
      <c r="AC100" s="44"/>
      <c r="AD100" s="44"/>
      <c r="AE100" s="44"/>
      <c r="AF100" s="20"/>
      <c r="AG100" s="65"/>
      <c r="AH100" s="44"/>
      <c r="AI100" s="44"/>
      <c r="AJ100" s="44"/>
      <c r="AK100" s="20"/>
      <c r="AL100" s="65"/>
      <c r="AM100" s="44"/>
      <c r="AN100" s="44"/>
      <c r="AO100" s="20"/>
    </row>
    <row r="101" spans="1:41">
      <c r="A101" s="30"/>
      <c r="B101" s="66"/>
      <c r="C101" s="66"/>
      <c r="D101" s="78"/>
      <c r="E101" s="78"/>
      <c r="F101" s="8"/>
      <c r="G101" s="8"/>
      <c r="H101" s="82">
        <f>H100</f>
        <v>0</v>
      </c>
      <c r="I101" s="83">
        <f>I100</f>
        <v>180</v>
      </c>
      <c r="J101" s="83">
        <f>J100</f>
        <v>0</v>
      </c>
      <c r="K101" s="83"/>
      <c r="L101" s="82"/>
      <c r="M101" s="82">
        <f>M100</f>
        <v>0</v>
      </c>
      <c r="N101" s="83">
        <f>N100</f>
        <v>40</v>
      </c>
      <c r="O101" s="83">
        <f>O100</f>
        <v>0</v>
      </c>
      <c r="P101" s="83"/>
      <c r="Q101" s="19"/>
      <c r="R101" s="82">
        <f>R100</f>
        <v>0</v>
      </c>
      <c r="S101" s="83">
        <f>S100</f>
        <v>0</v>
      </c>
      <c r="T101" s="83">
        <f>T100</f>
        <v>0</v>
      </c>
      <c r="U101" s="83"/>
      <c r="V101" s="19"/>
      <c r="W101" s="82">
        <f>W100</f>
        <v>0</v>
      </c>
      <c r="X101" s="83">
        <f>X100</f>
        <v>0</v>
      </c>
      <c r="Y101" s="83">
        <f>Y100</f>
        <v>0</v>
      </c>
      <c r="Z101" s="83"/>
      <c r="AA101" s="19"/>
      <c r="AB101" s="82">
        <f>AB100</f>
        <v>0</v>
      </c>
      <c r="AC101" s="83">
        <f>AC100</f>
        <v>0</v>
      </c>
      <c r="AD101" s="83">
        <f>AD100</f>
        <v>0</v>
      </c>
      <c r="AE101" s="83"/>
      <c r="AF101" s="20"/>
      <c r="AG101" s="82">
        <f>AG100</f>
        <v>0</v>
      </c>
      <c r="AH101" s="83">
        <f>AH100</f>
        <v>0</v>
      </c>
      <c r="AI101" s="83">
        <f>AI100</f>
        <v>0</v>
      </c>
      <c r="AJ101" s="83"/>
      <c r="AK101" s="20"/>
      <c r="AL101" s="82">
        <f>AL100</f>
        <v>0</v>
      </c>
      <c r="AM101" s="83">
        <f>AM100</f>
        <v>0</v>
      </c>
      <c r="AN101" s="83">
        <f>AN100</f>
        <v>0</v>
      </c>
      <c r="AO101" s="20"/>
    </row>
    <row r="102" spans="1:41">
      <c r="A102" s="30"/>
      <c r="B102" s="20"/>
      <c r="C102" s="20"/>
      <c r="D102" s="80"/>
      <c r="E102" s="80"/>
      <c r="F102" s="6"/>
      <c r="G102" s="6"/>
      <c r="H102" s="81"/>
      <c r="I102" s="41"/>
      <c r="J102" s="41"/>
      <c r="K102" s="41"/>
      <c r="L102" s="81"/>
      <c r="M102" s="81"/>
      <c r="N102" s="41"/>
      <c r="O102" s="6"/>
      <c r="P102" s="6"/>
      <c r="Q102" s="20"/>
      <c r="R102" s="20"/>
      <c r="S102" s="6"/>
      <c r="T102" s="6"/>
      <c r="U102" s="6"/>
      <c r="V102" s="20"/>
      <c r="W102" s="20"/>
      <c r="X102" s="6"/>
      <c r="Y102" s="6"/>
      <c r="Z102" s="6"/>
      <c r="AA102" s="20"/>
      <c r="AB102" s="81"/>
      <c r="AC102" s="41"/>
      <c r="AD102" s="41"/>
      <c r="AE102" s="41"/>
      <c r="AF102" s="20"/>
      <c r="AG102" s="81"/>
      <c r="AH102" s="41"/>
      <c r="AI102" s="41"/>
      <c r="AJ102" s="41"/>
      <c r="AK102" s="20"/>
      <c r="AL102" s="81"/>
      <c r="AM102" s="41"/>
      <c r="AN102" s="41"/>
      <c r="AO102" s="20"/>
    </row>
    <row r="103" spans="1:41">
      <c r="A103" s="30"/>
      <c r="B103" s="20"/>
      <c r="C103" s="20"/>
      <c r="D103" s="80"/>
      <c r="E103" s="80"/>
      <c r="F103" s="6"/>
      <c r="G103" s="6"/>
      <c r="H103" s="81"/>
      <c r="I103" s="41"/>
      <c r="J103" s="41"/>
      <c r="K103" s="41"/>
      <c r="L103" s="81"/>
      <c r="M103" s="81"/>
      <c r="N103" s="41"/>
      <c r="O103" s="6"/>
      <c r="P103" s="6"/>
      <c r="Q103" s="20"/>
      <c r="R103" s="42"/>
      <c r="S103" s="6"/>
      <c r="T103" s="6"/>
      <c r="U103" s="6"/>
      <c r="V103" s="20"/>
      <c r="W103" s="20"/>
      <c r="X103" s="6"/>
      <c r="Y103" s="6"/>
      <c r="Z103" s="6"/>
      <c r="AA103" s="20"/>
      <c r="AB103" s="81"/>
      <c r="AC103" s="41"/>
      <c r="AD103" s="41"/>
      <c r="AE103" s="41"/>
      <c r="AF103" s="20"/>
      <c r="AG103" s="81"/>
      <c r="AH103" s="41"/>
      <c r="AI103" s="41"/>
      <c r="AJ103" s="41"/>
      <c r="AK103" s="20"/>
      <c r="AL103" s="81"/>
      <c r="AM103" s="41"/>
      <c r="AN103" s="41"/>
      <c r="AO103" s="20"/>
    </row>
    <row r="104" spans="1:41">
      <c r="A104" s="30">
        <v>33</v>
      </c>
      <c r="B104" s="66" t="s">
        <v>107</v>
      </c>
      <c r="C104" s="66"/>
      <c r="D104" s="78"/>
      <c r="E104" s="78"/>
      <c r="F104" s="8">
        <v>410</v>
      </c>
      <c r="G104" s="8">
        <v>59.098000000000006</v>
      </c>
      <c r="H104" s="42">
        <v>8</v>
      </c>
      <c r="I104" s="44">
        <v>227</v>
      </c>
      <c r="J104" s="44">
        <v>895</v>
      </c>
      <c r="K104" s="44"/>
      <c r="L104" s="81"/>
      <c r="M104" s="42">
        <v>8</v>
      </c>
      <c r="N104" s="44">
        <f>60*4.546</f>
        <v>272.76</v>
      </c>
      <c r="O104" s="6">
        <v>654</v>
      </c>
      <c r="P104" s="6"/>
      <c r="Q104" s="20"/>
      <c r="R104" s="42">
        <v>4</v>
      </c>
      <c r="S104" s="6">
        <v>113</v>
      </c>
      <c r="T104" s="6">
        <v>759</v>
      </c>
      <c r="U104" s="6"/>
      <c r="V104" s="20"/>
      <c r="W104" s="20">
        <v>7.92</v>
      </c>
      <c r="X104" s="6">
        <v>272</v>
      </c>
      <c r="Y104" s="6">
        <v>486</v>
      </c>
      <c r="Z104" s="6"/>
      <c r="AA104" s="20"/>
      <c r="AB104" s="42">
        <v>7.16</v>
      </c>
      <c r="AC104" s="44">
        <v>227</v>
      </c>
      <c r="AD104" s="44">
        <v>486</v>
      </c>
      <c r="AE104" s="44"/>
      <c r="AF104" s="20"/>
      <c r="AG104" s="42"/>
      <c r="AH104" s="44"/>
      <c r="AI104" s="44"/>
      <c r="AJ104" s="44"/>
      <c r="AK104" s="20"/>
      <c r="AL104" s="42"/>
      <c r="AM104" s="44"/>
      <c r="AN104" s="44"/>
      <c r="AO104" s="20"/>
    </row>
    <row r="105" spans="1:41">
      <c r="A105" s="30">
        <v>34</v>
      </c>
      <c r="B105" s="66" t="s">
        <v>108</v>
      </c>
      <c r="C105" s="66"/>
      <c r="D105" s="78"/>
      <c r="E105" s="78"/>
      <c r="F105" s="8">
        <v>550</v>
      </c>
      <c r="G105" s="8">
        <v>72</v>
      </c>
      <c r="H105" s="42">
        <v>4.3</v>
      </c>
      <c r="I105" s="44">
        <f>45*4.546</f>
        <v>204.57000000000002</v>
      </c>
      <c r="J105" s="44">
        <f>850*4.546</f>
        <v>3864.1000000000004</v>
      </c>
      <c r="K105" s="44"/>
      <c r="L105" s="81"/>
      <c r="M105" s="42">
        <v>3</v>
      </c>
      <c r="N105" s="44">
        <f>30*4.546</f>
        <v>136.38</v>
      </c>
      <c r="O105" s="6">
        <f>839*4.546</f>
        <v>3814.0940000000001</v>
      </c>
      <c r="P105" s="6"/>
      <c r="Q105" s="20"/>
      <c r="R105" s="42">
        <v>0.36</v>
      </c>
      <c r="S105" s="20">
        <f>4*4.546</f>
        <v>18.184000000000001</v>
      </c>
      <c r="T105" s="6">
        <f>835*4.546</f>
        <v>3795.9100000000003</v>
      </c>
      <c r="U105" s="6"/>
      <c r="V105" s="20"/>
      <c r="W105" s="20">
        <v>0</v>
      </c>
      <c r="X105" s="6">
        <v>0</v>
      </c>
      <c r="Y105" s="6">
        <f>1315*4.546</f>
        <v>5977.9900000000007</v>
      </c>
      <c r="Z105" s="6"/>
      <c r="AA105" s="20"/>
      <c r="AB105" s="42">
        <v>0.48</v>
      </c>
      <c r="AC105" s="44">
        <f>9.5*4.546</f>
        <v>43.187000000000005</v>
      </c>
      <c r="AD105" s="44">
        <f>1305*4.546</f>
        <v>5932.5300000000007</v>
      </c>
      <c r="AE105" s="44"/>
      <c r="AF105" s="20"/>
      <c r="AG105" s="42"/>
      <c r="AH105" s="44"/>
      <c r="AI105" s="44"/>
      <c r="AJ105" s="44"/>
      <c r="AK105" s="20"/>
      <c r="AL105" s="42"/>
      <c r="AM105" s="44"/>
      <c r="AN105" s="44"/>
      <c r="AO105" s="20"/>
    </row>
    <row r="106" spans="1:41">
      <c r="A106" s="30">
        <v>35</v>
      </c>
      <c r="B106" s="66" t="s">
        <v>109</v>
      </c>
      <c r="C106" s="66"/>
      <c r="D106" s="78"/>
      <c r="E106" s="78"/>
      <c r="F106" s="8">
        <v>375</v>
      </c>
      <c r="G106" s="8">
        <v>54.552000000000007</v>
      </c>
      <c r="H106" s="42">
        <v>0</v>
      </c>
      <c r="I106" s="44">
        <v>0</v>
      </c>
      <c r="J106" s="44">
        <v>2037</v>
      </c>
      <c r="K106" s="44"/>
      <c r="L106" s="81"/>
      <c r="M106" s="42">
        <v>6.25</v>
      </c>
      <c r="N106" s="44">
        <v>38</v>
      </c>
      <c r="O106" s="6">
        <v>1999</v>
      </c>
      <c r="P106" s="6"/>
      <c r="Q106" s="20"/>
      <c r="R106" s="42">
        <v>0.2</v>
      </c>
      <c r="S106" s="6">
        <v>2</v>
      </c>
      <c r="T106" s="6">
        <v>1997</v>
      </c>
      <c r="U106" s="6"/>
      <c r="V106" s="20"/>
      <c r="W106" s="20">
        <v>0</v>
      </c>
      <c r="X106" s="6">
        <v>0</v>
      </c>
      <c r="Y106" s="6">
        <v>1997</v>
      </c>
      <c r="Z106" s="6"/>
      <c r="AA106" s="20"/>
      <c r="AB106" s="42">
        <v>0.2</v>
      </c>
      <c r="AC106" s="44">
        <v>3</v>
      </c>
      <c r="AD106" s="44">
        <v>1994</v>
      </c>
      <c r="AE106" s="44"/>
      <c r="AF106" s="20"/>
      <c r="AG106" s="42"/>
      <c r="AH106" s="44"/>
      <c r="AI106" s="44"/>
      <c r="AJ106" s="44"/>
      <c r="AK106" s="20"/>
      <c r="AL106" s="42"/>
      <c r="AM106" s="44"/>
      <c r="AN106" s="44"/>
      <c r="AO106" s="20"/>
    </row>
    <row r="107" spans="1:41">
      <c r="A107" s="30"/>
      <c r="B107" s="84"/>
      <c r="C107" s="84"/>
      <c r="D107" s="78"/>
      <c r="E107" s="78"/>
      <c r="F107" s="8"/>
      <c r="G107" s="8"/>
      <c r="H107" s="82">
        <f>SUM(H104:H106)</f>
        <v>12.3</v>
      </c>
      <c r="I107" s="83">
        <f t="shared" ref="I107" si="15">SUM(I104:I106)</f>
        <v>431.57000000000005</v>
      </c>
      <c r="J107" s="83">
        <f>SUM(J104:J106)</f>
        <v>6796.1</v>
      </c>
      <c r="K107" s="83"/>
      <c r="L107" s="82"/>
      <c r="M107" s="82">
        <f>SUM(M104:M106)</f>
        <v>17.25</v>
      </c>
      <c r="N107" s="83">
        <f t="shared" ref="N107" si="16">SUM(N104:N106)</f>
        <v>447.14</v>
      </c>
      <c r="O107" s="83">
        <f>SUM(O104:O106)</f>
        <v>6467.0940000000001</v>
      </c>
      <c r="P107" s="83"/>
      <c r="Q107" s="19"/>
      <c r="R107" s="82">
        <f>SUM(R104:R106)</f>
        <v>4.5600000000000005</v>
      </c>
      <c r="S107" s="83">
        <f>SUM(S104:S106)</f>
        <v>133.184</v>
      </c>
      <c r="T107" s="83">
        <f>SUM(T104:T106)</f>
        <v>6551.91</v>
      </c>
      <c r="U107" s="83"/>
      <c r="V107" s="19"/>
      <c r="W107" s="82">
        <f>SUM(W104:W106)</f>
        <v>7.92</v>
      </c>
      <c r="X107" s="83">
        <f>SUM(X104:X106)</f>
        <v>272</v>
      </c>
      <c r="Y107" s="83">
        <f>SUM(Y104:Y106)</f>
        <v>8460.9900000000016</v>
      </c>
      <c r="Z107" s="83"/>
      <c r="AA107" s="19"/>
      <c r="AB107" s="82">
        <f>SUM(AB104:AB106)</f>
        <v>7.8400000000000007</v>
      </c>
      <c r="AC107" s="83">
        <f t="shared" ref="AC107" si="17">SUM(AC104:AC106)</f>
        <v>273.18700000000001</v>
      </c>
      <c r="AD107" s="83">
        <f>SUM(AD104:AD106)</f>
        <v>8412.5300000000007</v>
      </c>
      <c r="AE107" s="83"/>
      <c r="AF107" s="20"/>
      <c r="AG107" s="82">
        <f>SUM(AG104:AG106)</f>
        <v>0</v>
      </c>
      <c r="AH107" s="83">
        <f t="shared" ref="AH107" si="18">SUM(AH104:AH106)</f>
        <v>0</v>
      </c>
      <c r="AI107" s="83">
        <f>SUM(AI104:AI106)</f>
        <v>0</v>
      </c>
      <c r="AJ107" s="83"/>
      <c r="AK107" s="20"/>
      <c r="AL107" s="82">
        <f>SUM(AL104:AL106)</f>
        <v>0</v>
      </c>
      <c r="AM107" s="83">
        <f t="shared" ref="AM107" si="19">SUM(AM104:AM106)</f>
        <v>0</v>
      </c>
      <c r="AN107" s="83">
        <f>SUM(AN104:AN106)</f>
        <v>0</v>
      </c>
      <c r="AO107" s="20"/>
    </row>
    <row r="108" spans="1:41">
      <c r="A108" s="30">
        <v>36</v>
      </c>
      <c r="B108" s="20" t="s">
        <v>101</v>
      </c>
      <c r="C108" s="20" t="s">
        <v>20</v>
      </c>
      <c r="D108" s="80" t="s">
        <v>68</v>
      </c>
      <c r="E108" s="80"/>
      <c r="F108" s="6">
        <v>350</v>
      </c>
      <c r="G108" s="6"/>
      <c r="H108" s="20">
        <v>0</v>
      </c>
      <c r="I108" s="6">
        <v>0</v>
      </c>
      <c r="J108" s="6">
        <v>872.83199999999999</v>
      </c>
      <c r="K108" s="6"/>
      <c r="L108" s="20"/>
      <c r="M108" s="20">
        <v>0</v>
      </c>
      <c r="N108" s="6">
        <v>0</v>
      </c>
      <c r="O108" s="6">
        <v>873</v>
      </c>
      <c r="P108" s="6"/>
      <c r="Q108" s="20"/>
      <c r="R108" s="20">
        <v>2</v>
      </c>
      <c r="S108" s="6">
        <v>23</v>
      </c>
      <c r="T108" s="6">
        <f>192*4.546</f>
        <v>872.83200000000011</v>
      </c>
      <c r="U108" s="6"/>
      <c r="V108" s="20"/>
      <c r="W108" s="20">
        <v>0.1</v>
      </c>
      <c r="X108" s="6">
        <v>2.2730000000000001</v>
      </c>
      <c r="Y108" s="6">
        <v>2686.7</v>
      </c>
      <c r="Z108" s="6"/>
      <c r="AA108" s="20"/>
      <c r="AB108" s="20">
        <v>0</v>
      </c>
      <c r="AC108" s="6">
        <v>0</v>
      </c>
      <c r="AD108" s="6">
        <v>2687</v>
      </c>
      <c r="AE108" s="6"/>
      <c r="AF108" s="20"/>
      <c r="AG108" s="20"/>
      <c r="AH108" s="6"/>
      <c r="AI108" s="6"/>
      <c r="AJ108" s="6"/>
      <c r="AK108" s="20"/>
      <c r="AL108" s="20"/>
      <c r="AM108" s="6"/>
      <c r="AN108" s="6"/>
      <c r="AO108" s="20"/>
    </row>
    <row r="109" spans="1:41">
      <c r="A109" s="28"/>
      <c r="B109" s="20"/>
      <c r="C109" s="20"/>
      <c r="D109" s="80"/>
      <c r="E109" s="80"/>
      <c r="F109" s="6">
        <v>165</v>
      </c>
      <c r="G109" s="6"/>
      <c r="H109" s="20">
        <v>0</v>
      </c>
      <c r="I109" s="6">
        <v>0</v>
      </c>
      <c r="J109" s="6">
        <v>0</v>
      </c>
      <c r="K109" s="6"/>
      <c r="L109" s="20"/>
      <c r="M109" s="20">
        <v>0</v>
      </c>
      <c r="N109" s="6">
        <v>0</v>
      </c>
      <c r="O109" s="6">
        <v>0</v>
      </c>
      <c r="P109" s="6"/>
      <c r="Q109" s="20"/>
      <c r="R109" s="20">
        <v>0</v>
      </c>
      <c r="S109" s="6">
        <v>0</v>
      </c>
      <c r="T109" s="6">
        <v>0</v>
      </c>
      <c r="U109" s="6"/>
      <c r="V109" s="20"/>
      <c r="W109" s="20">
        <v>0</v>
      </c>
      <c r="X109" s="6">
        <v>0</v>
      </c>
      <c r="Y109" s="6">
        <v>0</v>
      </c>
      <c r="Z109" s="6"/>
      <c r="AA109" s="20"/>
      <c r="AB109" s="20">
        <v>0</v>
      </c>
      <c r="AC109" s="6">
        <v>0</v>
      </c>
      <c r="AD109" s="6">
        <v>0</v>
      </c>
      <c r="AE109" s="6"/>
      <c r="AF109" s="20"/>
      <c r="AG109" s="20">
        <v>0</v>
      </c>
      <c r="AH109" s="6">
        <v>0</v>
      </c>
      <c r="AI109" s="6">
        <v>0</v>
      </c>
      <c r="AJ109" s="6"/>
      <c r="AK109" s="20"/>
      <c r="AL109" s="20"/>
      <c r="AM109" s="6"/>
      <c r="AN109" s="6"/>
      <c r="AO109" s="20"/>
    </row>
  </sheetData>
  <mergeCells count="182">
    <mergeCell ref="K55:K56"/>
    <mergeCell ref="P55:P56"/>
    <mergeCell ref="T55:T56"/>
    <mergeCell ref="U55:U56"/>
    <mergeCell ref="Y55:Y56"/>
    <mergeCell ref="Z55:Z56"/>
    <mergeCell ref="AD55:AD56"/>
    <mergeCell ref="AE55:AE56"/>
    <mergeCell ref="D57:D60"/>
    <mergeCell ref="E57:E60"/>
    <mergeCell ref="I57:I60"/>
    <mergeCell ref="J57:J60"/>
    <mergeCell ref="K57:K60"/>
    <mergeCell ref="N57:N60"/>
    <mergeCell ref="O57:O60"/>
    <mergeCell ref="Z57:Z60"/>
    <mergeCell ref="AD57:AD60"/>
    <mergeCell ref="AE57:AE60"/>
    <mergeCell ref="P57:P60"/>
    <mergeCell ref="S57:S60"/>
    <mergeCell ref="T57:T60"/>
    <mergeCell ref="U57:U60"/>
    <mergeCell ref="X57:X60"/>
    <mergeCell ref="Y57:Y60"/>
    <mergeCell ref="AE49:AE51"/>
    <mergeCell ref="J52:J54"/>
    <mergeCell ref="K52:K54"/>
    <mergeCell ref="O52:O54"/>
    <mergeCell ref="P52:P54"/>
    <mergeCell ref="T52:T54"/>
    <mergeCell ref="U52:U54"/>
    <mergeCell ref="Y52:Y54"/>
    <mergeCell ref="Z52:Z54"/>
    <mergeCell ref="AD52:AD54"/>
    <mergeCell ref="AE52:AE54"/>
    <mergeCell ref="J49:J51"/>
    <mergeCell ref="K49:K51"/>
    <mergeCell ref="O49:O51"/>
    <mergeCell ref="P49:P51"/>
    <mergeCell ref="T49:T51"/>
    <mergeCell ref="U49:U51"/>
    <mergeCell ref="Y49:Y51"/>
    <mergeCell ref="Z49:Z51"/>
    <mergeCell ref="AD49:AD51"/>
    <mergeCell ref="AE44:AE46"/>
    <mergeCell ref="J47:J48"/>
    <mergeCell ref="K47:K48"/>
    <mergeCell ref="O47:O48"/>
    <mergeCell ref="P47:P48"/>
    <mergeCell ref="T47:T48"/>
    <mergeCell ref="U47:U48"/>
    <mergeCell ref="Y47:Y48"/>
    <mergeCell ref="Z47:Z48"/>
    <mergeCell ref="AD47:AD48"/>
    <mergeCell ref="AE47:AE48"/>
    <mergeCell ref="J44:J46"/>
    <mergeCell ref="K44:K46"/>
    <mergeCell ref="O44:O46"/>
    <mergeCell ref="P44:P46"/>
    <mergeCell ref="T44:T46"/>
    <mergeCell ref="U44:U46"/>
    <mergeCell ref="Y44:Y46"/>
    <mergeCell ref="Z44:Z46"/>
    <mergeCell ref="AD44:AD46"/>
    <mergeCell ref="AE38:AE39"/>
    <mergeCell ref="J41:J43"/>
    <mergeCell ref="K41:K43"/>
    <mergeCell ref="O41:O43"/>
    <mergeCell ref="P41:P43"/>
    <mergeCell ref="T41:T43"/>
    <mergeCell ref="U41:U43"/>
    <mergeCell ref="X41:X43"/>
    <mergeCell ref="Y41:Y43"/>
    <mergeCell ref="Z41:Z43"/>
    <mergeCell ref="AD41:AD43"/>
    <mergeCell ref="AE41:AE43"/>
    <mergeCell ref="J38:J39"/>
    <mergeCell ref="K38:K39"/>
    <mergeCell ref="O38:O39"/>
    <mergeCell ref="P38:P39"/>
    <mergeCell ref="T38:T39"/>
    <mergeCell ref="U38:U39"/>
    <mergeCell ref="Y38:Y39"/>
    <mergeCell ref="Z38:Z39"/>
    <mergeCell ref="AD38:AD39"/>
    <mergeCell ref="Y32:Y33"/>
    <mergeCell ref="Z32:Z33"/>
    <mergeCell ref="AD32:AD33"/>
    <mergeCell ref="AE32:AE33"/>
    <mergeCell ref="J34:J35"/>
    <mergeCell ref="K34:K35"/>
    <mergeCell ref="O34:O35"/>
    <mergeCell ref="P34:P35"/>
    <mergeCell ref="T34:T35"/>
    <mergeCell ref="U34:U35"/>
    <mergeCell ref="J32:J33"/>
    <mergeCell ref="K32:K33"/>
    <mergeCell ref="O32:O33"/>
    <mergeCell ref="P32:P33"/>
    <mergeCell ref="T32:T33"/>
    <mergeCell ref="U32:U33"/>
    <mergeCell ref="Y34:Y35"/>
    <mergeCell ref="Z34:Z35"/>
    <mergeCell ref="AD34:AD35"/>
    <mergeCell ref="AE34:AE35"/>
    <mergeCell ref="AE27:AE28"/>
    <mergeCell ref="K29:K30"/>
    <mergeCell ref="P29:P30"/>
    <mergeCell ref="T29:T30"/>
    <mergeCell ref="U29:U30"/>
    <mergeCell ref="Y29:Y30"/>
    <mergeCell ref="Z29:Z30"/>
    <mergeCell ref="AD29:AD30"/>
    <mergeCell ref="AE29:AE30"/>
    <mergeCell ref="J27:J28"/>
    <mergeCell ref="K27:K28"/>
    <mergeCell ref="O27:O28"/>
    <mergeCell ref="P27:P28"/>
    <mergeCell ref="T27:T28"/>
    <mergeCell ref="U27:U28"/>
    <mergeCell ref="Y27:Y28"/>
    <mergeCell ref="Z27:Z28"/>
    <mergeCell ref="AD27:AD28"/>
    <mergeCell ref="K18:K20"/>
    <mergeCell ref="P18:P20"/>
    <mergeCell ref="U18:U20"/>
    <mergeCell ref="Z18:Z20"/>
    <mergeCell ref="AD18:AD20"/>
    <mergeCell ref="AD21:AD23"/>
    <mergeCell ref="AE21:AE23"/>
    <mergeCell ref="K25:K26"/>
    <mergeCell ref="O25:O26"/>
    <mergeCell ref="P25:P26"/>
    <mergeCell ref="T25:T26"/>
    <mergeCell ref="U25:U26"/>
    <mergeCell ref="Y25:Y26"/>
    <mergeCell ref="Z25:Z26"/>
    <mergeCell ref="AD25:AD26"/>
    <mergeCell ref="K21:K23"/>
    <mergeCell ref="P21:P23"/>
    <mergeCell ref="T21:T23"/>
    <mergeCell ref="U21:U23"/>
    <mergeCell ref="Y21:Y23"/>
    <mergeCell ref="Z21:Z23"/>
    <mergeCell ref="AE25:AE26"/>
    <mergeCell ref="U16:U17"/>
    <mergeCell ref="Y16:Y17"/>
    <mergeCell ref="Z16:Z17"/>
    <mergeCell ref="AD16:AD17"/>
    <mergeCell ref="AE16:AE17"/>
    <mergeCell ref="K13:K15"/>
    <mergeCell ref="O13:O15"/>
    <mergeCell ref="P13:P15"/>
    <mergeCell ref="T13:T15"/>
    <mergeCell ref="U13:U15"/>
    <mergeCell ref="Y13:Y15"/>
    <mergeCell ref="Z13:Z15"/>
    <mergeCell ref="AD13:AD15"/>
    <mergeCell ref="AC57:AC60"/>
    <mergeCell ref="AB2:AE2"/>
    <mergeCell ref="A4:G4"/>
    <mergeCell ref="J8:J10"/>
    <mergeCell ref="K8:K10"/>
    <mergeCell ref="O8:O10"/>
    <mergeCell ref="P8:P10"/>
    <mergeCell ref="T8:T10"/>
    <mergeCell ref="U8:U10"/>
    <mergeCell ref="Y8:Y10"/>
    <mergeCell ref="Z8:Z10"/>
    <mergeCell ref="A2:A3"/>
    <mergeCell ref="B2:B3"/>
    <mergeCell ref="H2:K2"/>
    <mergeCell ref="M2:P2"/>
    <mergeCell ref="R2:U2"/>
    <mergeCell ref="W2:Z2"/>
    <mergeCell ref="AD8:AD10"/>
    <mergeCell ref="AE8:AE10"/>
    <mergeCell ref="AE18:AE20"/>
    <mergeCell ref="AE13:AE15"/>
    <mergeCell ref="J16:J17"/>
    <mergeCell ref="O16:O17"/>
    <mergeCell ref="T16:T17"/>
  </mergeCells>
  <conditionalFormatting sqref="H87:H92">
    <cfRule type="cellIs" dxfId="22" priority="22" operator="greaterThan">
      <formula>4</formula>
    </cfRule>
  </conditionalFormatting>
  <conditionalFormatting sqref="M62:M83 H62:H84 AG62:AG84 AL62:AL84 R69:R83 W80:W83 H104:H106 M104:M106 AB104:AB106 AG104:AG106 AL104:AL106">
    <cfRule type="cellIs" dxfId="21" priority="23" operator="greaterThan">
      <formula>4</formula>
    </cfRule>
  </conditionalFormatting>
  <conditionalFormatting sqref="M87:M92">
    <cfRule type="cellIs" dxfId="20" priority="21" operator="greaterThan">
      <formula>4</formula>
    </cfRule>
  </conditionalFormatting>
  <conditionalFormatting sqref="M95:M97">
    <cfRule type="cellIs" dxfId="19" priority="20" operator="greaterThan">
      <formula>4</formula>
    </cfRule>
  </conditionalFormatting>
  <conditionalFormatting sqref="M100">
    <cfRule type="cellIs" dxfId="18" priority="19" operator="greaterThan">
      <formula>4</formula>
    </cfRule>
  </conditionalFormatting>
  <conditionalFormatting sqref="R62:R67">
    <cfRule type="cellIs" dxfId="17" priority="18" operator="greaterThan">
      <formula>4</formula>
    </cfRule>
  </conditionalFormatting>
  <conditionalFormatting sqref="R87:R92">
    <cfRule type="cellIs" dxfId="16" priority="17" operator="greaterThan">
      <formula>4</formula>
    </cfRule>
  </conditionalFormatting>
  <conditionalFormatting sqref="R95:R97">
    <cfRule type="cellIs" dxfId="15" priority="16" operator="greaterThan">
      <formula>4</formula>
    </cfRule>
  </conditionalFormatting>
  <conditionalFormatting sqref="R103:R106">
    <cfRule type="cellIs" dxfId="14" priority="15" operator="greaterThan">
      <formula>4</formula>
    </cfRule>
  </conditionalFormatting>
  <conditionalFormatting sqref="W62:W78">
    <cfRule type="cellIs" dxfId="13" priority="10" operator="greaterThan">
      <formula>4</formula>
    </cfRule>
  </conditionalFormatting>
  <conditionalFormatting sqref="W87:W92">
    <cfRule type="cellIs" dxfId="12" priority="11" operator="greaterThan">
      <formula>4</formula>
    </cfRule>
  </conditionalFormatting>
  <conditionalFormatting sqref="AB62:AB63 AB70:AB84 AB65:AB68">
    <cfRule type="cellIs" dxfId="11" priority="9" operator="greaterThan">
      <formula>4</formula>
    </cfRule>
  </conditionalFormatting>
  <conditionalFormatting sqref="AB87:AB92">
    <cfRule type="cellIs" dxfId="10" priority="14" operator="greaterThan">
      <formula>4</formula>
    </cfRule>
  </conditionalFormatting>
  <conditionalFormatting sqref="AG87:AG92">
    <cfRule type="cellIs" dxfId="9" priority="13" operator="greaterThan">
      <formula>4</formula>
    </cfRule>
  </conditionalFormatting>
  <conditionalFormatting sqref="AL87:AL92">
    <cfRule type="cellIs" dxfId="8" priority="12" operator="greaterThan">
      <formula>4</formula>
    </cfRule>
  </conditionalFormatting>
  <conditionalFormatting sqref="W40:W60 H8:H60 M8:M60 R8:R60 AB34:AB60 W34:W37">
    <cfRule type="cellIs" dxfId="7" priority="8" operator="greaterThan">
      <formula>4</formula>
    </cfRule>
  </conditionalFormatting>
  <conditionalFormatting sqref="W8:W15 W18:W32">
    <cfRule type="cellIs" dxfId="6" priority="7" operator="greaterThan">
      <formula>4</formula>
    </cfRule>
  </conditionalFormatting>
  <conditionalFormatting sqref="AB8:AB15 AB18:AB32">
    <cfRule type="cellIs" dxfId="5" priority="6" operator="greaterThan">
      <formula>4</formula>
    </cfRule>
  </conditionalFormatting>
  <conditionalFormatting sqref="W16:W17">
    <cfRule type="cellIs" dxfId="4" priority="5" operator="greaterThan">
      <formula>4</formula>
    </cfRule>
  </conditionalFormatting>
  <conditionalFormatting sqref="W33">
    <cfRule type="cellIs" dxfId="3" priority="4" operator="greaterThan">
      <formula>4</formula>
    </cfRule>
  </conditionalFormatting>
  <conditionalFormatting sqref="W38:W39">
    <cfRule type="cellIs" dxfId="2" priority="3" operator="greaterThan">
      <formula>4</formula>
    </cfRule>
  </conditionalFormatting>
  <conditionalFormatting sqref="AB33">
    <cfRule type="cellIs" dxfId="1" priority="2" operator="greaterThan">
      <formula>4</formula>
    </cfRule>
  </conditionalFormatting>
  <conditionalFormatting sqref="AB16:AB17">
    <cfRule type="cellIs" dxfId="0" priority="1" operator="greaterThan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64C-F057-40E0-98E4-212B20CE6712}">
  <dimension ref="A2:AL109"/>
  <sheetViews>
    <sheetView tabSelected="1" workbookViewId="0">
      <pane xSplit="9" ySplit="5" topLeftCell="AA6" activePane="bottomRight" state="frozen"/>
      <selection pane="bottomRight" activeCell="AD14" sqref="AD14"/>
      <selection pane="bottomLeft"/>
      <selection pane="topRight"/>
    </sheetView>
  </sheetViews>
  <sheetFormatPr defaultRowHeight="15"/>
  <cols>
    <col min="3" max="3" width="13.5703125" customWidth="1"/>
    <col min="5" max="5" width="4.42578125" customWidth="1"/>
    <col min="6" max="6" width="3.7109375" customWidth="1"/>
    <col min="7" max="7" width="4.140625" customWidth="1"/>
    <col min="8" max="8" width="4.85546875" customWidth="1"/>
    <col min="9" max="9" width="1.85546875" customWidth="1"/>
    <col min="10" max="10" width="8.7109375" customWidth="1"/>
    <col min="13" max="13" width="9.140625" style="63"/>
    <col min="14" max="14" width="3.28515625" customWidth="1"/>
    <col min="15" max="15" width="7.85546875" customWidth="1"/>
    <col min="19" max="19" width="4.42578125" customWidth="1"/>
    <col min="20" max="20" width="3.7109375" customWidth="1"/>
    <col min="24" max="24" width="5.5703125" customWidth="1"/>
    <col min="25" max="25" width="4.140625" customWidth="1"/>
    <col min="29" max="29" width="4.5703125" customWidth="1"/>
    <col min="30" max="30" width="7.140625" customWidth="1"/>
  </cols>
  <sheetData>
    <row r="2" spans="1:38" ht="15" customHeight="1">
      <c r="D2" t="str">
        <f>'diesel used'!C2</f>
        <v>Type (Regular/ LNG)</v>
      </c>
      <c r="J2" s="64">
        <f>'diesel used'!H2</f>
        <v>46106</v>
      </c>
      <c r="K2" s="64">
        <f>'diesel used'!H2</f>
        <v>46106</v>
      </c>
      <c r="L2" s="64">
        <f>'diesel used'!H2</f>
        <v>46106</v>
      </c>
      <c r="M2" s="64">
        <f>'diesel used'!H2</f>
        <v>46106</v>
      </c>
      <c r="O2" s="64">
        <f>'diesel used'!M2</f>
        <v>46107</v>
      </c>
      <c r="P2" s="64">
        <f>'diesel used'!M2</f>
        <v>46107</v>
      </c>
      <c r="Q2" s="64">
        <f>'diesel used'!M2</f>
        <v>46107</v>
      </c>
      <c r="R2" s="64">
        <f>'diesel used'!M2</f>
        <v>46107</v>
      </c>
      <c r="T2" s="64">
        <f>'diesel used'!R2</f>
        <v>46108</v>
      </c>
      <c r="U2" s="64">
        <f>'diesel used'!R2</f>
        <v>46108</v>
      </c>
      <c r="V2" s="64">
        <f>'diesel used'!R2</f>
        <v>46108</v>
      </c>
      <c r="W2" s="64">
        <f>'diesel used'!R2</f>
        <v>46108</v>
      </c>
      <c r="Y2" s="64">
        <f>'diesel used'!W2</f>
        <v>46109</v>
      </c>
      <c r="Z2" s="64">
        <f>'diesel used'!W2</f>
        <v>46109</v>
      </c>
      <c r="AA2" s="64">
        <f>'diesel used'!W2</f>
        <v>46109</v>
      </c>
      <c r="AB2" s="64">
        <f>'diesel used'!W2</f>
        <v>46109</v>
      </c>
      <c r="AD2" s="64">
        <f>'diesel used'!AB2</f>
        <v>46110</v>
      </c>
      <c r="AE2" s="64">
        <f>'diesel used'!AB2</f>
        <v>46110</v>
      </c>
      <c r="AF2" s="64">
        <f>'diesel used'!AB2</f>
        <v>46110</v>
      </c>
      <c r="AG2" s="64">
        <f>'diesel used'!AB2</f>
        <v>46110</v>
      </c>
      <c r="AI2" s="64">
        <f>'diesel used'!AG2</f>
        <v>0</v>
      </c>
      <c r="AJ2" s="64">
        <f>'diesel used'!AG2</f>
        <v>0</v>
      </c>
      <c r="AK2" s="64">
        <f>'diesel used'!AG2</f>
        <v>0</v>
      </c>
      <c r="AL2" s="64">
        <f>'diesel used'!AG2</f>
        <v>0</v>
      </c>
    </row>
    <row r="3" spans="1:38" s="60" customFormat="1" ht="11.25">
      <c r="A3" s="59" t="str">
        <f>'diesel used'!A2</f>
        <v>စဥ်</v>
      </c>
      <c r="B3" s="59"/>
      <c r="C3" s="60" t="str">
        <f>'diesel used'!B2</f>
        <v>Center Name</v>
      </c>
      <c r="H3" s="61" t="str">
        <f>'diesel used'!F3</f>
        <v>KVA</v>
      </c>
      <c r="K3" s="60" t="s">
        <v>12</v>
      </c>
      <c r="L3" s="60" t="s">
        <v>110</v>
      </c>
      <c r="M3" s="62" t="s">
        <v>111</v>
      </c>
      <c r="P3" s="60" t="s">
        <v>12</v>
      </c>
      <c r="Q3" s="60" t="s">
        <v>110</v>
      </c>
      <c r="R3" s="62" t="s">
        <v>111</v>
      </c>
      <c r="U3" s="60" t="s">
        <v>12</v>
      </c>
      <c r="V3" s="60" t="s">
        <v>110</v>
      </c>
      <c r="W3" s="62" t="s">
        <v>111</v>
      </c>
      <c r="Z3" s="60" t="s">
        <v>12</v>
      </c>
      <c r="AA3" s="60" t="s">
        <v>110</v>
      </c>
      <c r="AB3" s="62" t="s">
        <v>111</v>
      </c>
      <c r="AE3" s="60" t="s">
        <v>12</v>
      </c>
      <c r="AF3" s="60" t="s">
        <v>110</v>
      </c>
      <c r="AG3" s="62" t="s">
        <v>111</v>
      </c>
      <c r="AJ3" s="60" t="s">
        <v>12</v>
      </c>
      <c r="AK3" s="60" t="s">
        <v>110</v>
      </c>
      <c r="AL3" s="62" t="s">
        <v>111</v>
      </c>
    </row>
    <row r="4" spans="1:38">
      <c r="B4" t="s">
        <v>112</v>
      </c>
      <c r="C4" t="s">
        <v>113</v>
      </c>
      <c r="D4" t="s">
        <v>113</v>
      </c>
      <c r="K4" s="58">
        <f>SUM(K8:K60)</f>
        <v>3167.6699999999996</v>
      </c>
      <c r="L4" s="58">
        <f>SUM(L8:L60)</f>
        <v>105745.80399999999</v>
      </c>
      <c r="M4" s="63">
        <f>IFERROR(L4/K4, "X")</f>
        <v>33.382834701847102</v>
      </c>
      <c r="P4" s="58">
        <f>SUM(P8:P60)</f>
        <v>3743.3060000000005</v>
      </c>
      <c r="Q4" s="58">
        <f>SUM(Q8:Q60)</f>
        <v>109298.618</v>
      </c>
      <c r="R4" s="63">
        <f>IFERROR(Q4/P4, "X")</f>
        <v>29.198419258270626</v>
      </c>
      <c r="U4" s="58">
        <f>SUM(U8:U60)</f>
        <v>2335.81</v>
      </c>
      <c r="V4" s="58">
        <f>SUM(V8:V60)</f>
        <v>111773.36</v>
      </c>
      <c r="W4" s="63">
        <f>IFERROR(V4/U4, "X")</f>
        <v>47.852077009688287</v>
      </c>
      <c r="Z4" s="58">
        <f>SUM(Z8:Z60)</f>
        <v>5129.4139999999998</v>
      </c>
      <c r="AA4" s="58">
        <f>SUM(AA8:AA60)</f>
        <v>107605.79599999999</v>
      </c>
      <c r="AB4" s="63">
        <f>IFERROR(AA4/Z4, "X")</f>
        <v>20.978185032442301</v>
      </c>
      <c r="AE4" s="58">
        <f>SUM(AE8:AE60)</f>
        <v>2340.0820000000003</v>
      </c>
      <c r="AF4" s="58">
        <f>SUM(AF8:AF60)</f>
        <v>101978.826</v>
      </c>
      <c r="AG4" s="63">
        <f>IFERROR(AF4/AE4, "X")</f>
        <v>43.579167738566419</v>
      </c>
      <c r="AJ4" s="58">
        <f>SUM(AJ8:AJ60)</f>
        <v>0</v>
      </c>
      <c r="AK4" s="58">
        <f>SUM(AK8:AK60)</f>
        <v>0</v>
      </c>
      <c r="AL4" s="63" t="str">
        <f>IFERROR(AK4/AJ4, "X")</f>
        <v>X</v>
      </c>
    </row>
    <row r="5" spans="1:38">
      <c r="B5" t="s">
        <v>114</v>
      </c>
      <c r="K5" s="58">
        <f>SUM(K62:K109)</f>
        <v>2162.2460000000001</v>
      </c>
      <c r="L5" s="58">
        <f>SUM(L62:L109)</f>
        <v>54413.31</v>
      </c>
      <c r="M5" s="63">
        <f>L5/K5</f>
        <v>25.16518009514181</v>
      </c>
      <c r="P5" s="58">
        <f>SUM(P62:P109)</f>
        <v>2189.2719999999999</v>
      </c>
      <c r="Q5" s="58">
        <f>SUM(Q62:Q109)</f>
        <v>56063.671999999991</v>
      </c>
      <c r="R5" s="63">
        <f>Q5/P5</f>
        <v>25.608362962665211</v>
      </c>
      <c r="U5" s="58">
        <f>SUM(U62:U109)</f>
        <v>1212.5239999999999</v>
      </c>
      <c r="V5" s="58">
        <f>SUM(V62:V109)</f>
        <v>55808.26200000001</v>
      </c>
      <c r="W5" s="63">
        <f>V5/U5</f>
        <v>46.026521536893306</v>
      </c>
      <c r="Z5" s="58">
        <f>SUM(Z62:Z109)</f>
        <v>3049.723</v>
      </c>
      <c r="AA5" s="58">
        <f>SUM(AA62:AA109)</f>
        <v>58307.299999999996</v>
      </c>
      <c r="AB5" s="63">
        <f>AA5/Z5</f>
        <v>19.118883911751983</v>
      </c>
      <c r="AE5" s="58">
        <f>SUM(AE62:AE109)</f>
        <v>1718.7189999999998</v>
      </c>
      <c r="AF5" s="58">
        <f>SUM(AF62:AF109)</f>
        <v>58482.84</v>
      </c>
      <c r="AG5" s="63">
        <f>AF5/AE5</f>
        <v>34.026993359589326</v>
      </c>
      <c r="AJ5" s="58">
        <f>SUM(AJ62:AJ109)</f>
        <v>0</v>
      </c>
      <c r="AK5" s="58">
        <f>SUM(AK62:AK109)</f>
        <v>0</v>
      </c>
      <c r="AL5" s="63" t="e">
        <f>AK5/AJ5</f>
        <v>#DIV/0!</v>
      </c>
    </row>
    <row r="6" spans="1:38">
      <c r="R6" s="63"/>
      <c r="W6" s="63"/>
      <c r="AB6" s="63"/>
      <c r="AG6" s="63"/>
      <c r="AL6" s="63"/>
    </row>
    <row r="7" spans="1:38">
      <c r="R7" s="63"/>
      <c r="W7" s="63"/>
      <c r="AB7" s="63"/>
      <c r="AG7" s="63"/>
      <c r="AL7" s="63"/>
    </row>
    <row r="8" spans="1:38">
      <c r="A8" s="57">
        <f>'diesel used'!A8</f>
        <v>1</v>
      </c>
      <c r="B8" s="57" t="s">
        <v>112</v>
      </c>
      <c r="C8" t="str">
        <f>'diesel used'!B8</f>
        <v>CM19</v>
      </c>
      <c r="D8" t="str">
        <f>'diesel used'!C8</f>
        <v>Regular</v>
      </c>
      <c r="H8" t="str">
        <f>RIGHT('diesel used'!F8, LEN('diesel used'!F8) - FIND("-", 'diesel used'!F8))</f>
        <v>550</v>
      </c>
      <c r="K8" s="58">
        <f>'diesel used'!I8+'diesel used'!I9+'diesel used'!I10</f>
        <v>105</v>
      </c>
      <c r="L8" s="58">
        <f>'diesel used'!J8</f>
        <v>2924</v>
      </c>
      <c r="M8" s="63">
        <f>IFERROR(L8/K8, "X")</f>
        <v>27.847619047619048</v>
      </c>
      <c r="P8" s="58">
        <f>'diesel used'!N8+'diesel used'!N9+'diesel used'!N10</f>
        <v>263</v>
      </c>
      <c r="Q8" s="58">
        <f>'diesel used'!O8</f>
        <v>2661</v>
      </c>
      <c r="R8" s="63">
        <f>IFERROR(Q8/P8, "X")</f>
        <v>10.117870722433461</v>
      </c>
      <c r="U8" s="58">
        <f>'diesel used'!S8+'diesel used'!S9+'diesel used'!S10</f>
        <v>95</v>
      </c>
      <c r="V8" s="58">
        <f>'diesel used'!T8</f>
        <v>4566</v>
      </c>
      <c r="W8" s="63">
        <f>IFERROR(V8/U8, "X")</f>
        <v>48.06315789473684</v>
      </c>
      <c r="Z8" s="58">
        <f>'diesel used'!X8+'diesel used'!X9+'diesel used'!X10</f>
        <v>51</v>
      </c>
      <c r="AA8" s="58">
        <f>'diesel used'!Y8</f>
        <v>5515</v>
      </c>
      <c r="AB8" s="63">
        <f>IFERROR(AA8/Z8, "X")</f>
        <v>108.13725490196079</v>
      </c>
      <c r="AE8" s="58">
        <f>'diesel used'!AC8+'diesel used'!AC9+'diesel used'!AC10</f>
        <v>185</v>
      </c>
      <c r="AF8" s="58">
        <f>'diesel used'!AD8</f>
        <v>5330</v>
      </c>
      <c r="AG8" s="63">
        <f>IFERROR(AF8/AE8, "X")</f>
        <v>28.810810810810811</v>
      </c>
      <c r="AJ8" s="58">
        <f>'diesel used'!AH8+'diesel used'!AH9+'diesel used'!AH10</f>
        <v>0</v>
      </c>
      <c r="AK8" s="58">
        <f>'diesel used'!AI8</f>
        <v>0</v>
      </c>
      <c r="AL8" s="63" t="str">
        <f>IFERROR(AK8/AJ8, "X")</f>
        <v>X</v>
      </c>
    </row>
    <row r="9" spans="1:38">
      <c r="A9" s="57">
        <f>'diesel used'!A9</f>
        <v>2</v>
      </c>
      <c r="B9" s="57" t="s">
        <v>112</v>
      </c>
      <c r="C9" t="str">
        <f>'diesel used'!B9</f>
        <v>CM19</v>
      </c>
      <c r="D9" t="str">
        <f>'diesel used'!C9</f>
        <v>Regular</v>
      </c>
      <c r="H9" t="str">
        <f>RIGHT('diesel used'!F9, LEN('diesel used'!F9) - FIND("-", 'diesel used'!F9))</f>
        <v>150</v>
      </c>
      <c r="R9" s="63"/>
      <c r="W9" s="63"/>
      <c r="AB9" s="63"/>
      <c r="AG9" s="63"/>
      <c r="AL9" s="63"/>
    </row>
    <row r="10" spans="1:38">
      <c r="A10" s="57">
        <f>'diesel used'!A10</f>
        <v>3</v>
      </c>
      <c r="B10" s="57" t="s">
        <v>112</v>
      </c>
      <c r="C10" t="str">
        <f>'diesel used'!B10</f>
        <v>CM19</v>
      </c>
      <c r="D10" t="str">
        <f>'diesel used'!C10</f>
        <v>Regular</v>
      </c>
      <c r="H10" t="str">
        <f>RIGHT('diesel used'!F10, LEN('diesel used'!F10) - FIND("-", 'diesel used'!F10))</f>
        <v>300</v>
      </c>
      <c r="R10" s="63"/>
      <c r="W10" s="63"/>
      <c r="AB10" s="63"/>
      <c r="AG10" s="63"/>
      <c r="AL10" s="63"/>
    </row>
    <row r="11" spans="1:38">
      <c r="A11" s="57">
        <f>'diesel used'!A11</f>
        <v>4</v>
      </c>
      <c r="B11" s="57" t="s">
        <v>112</v>
      </c>
      <c r="C11" t="str">
        <f>'diesel used'!B11</f>
        <v>CMAYW</v>
      </c>
      <c r="D11" t="str">
        <f>'diesel used'!C11</f>
        <v>Regular</v>
      </c>
      <c r="H11" t="str">
        <f>RIGHT('diesel used'!F11, LEN('diesel used'!F11) - FIND("-", 'diesel used'!F11))</f>
        <v>440</v>
      </c>
      <c r="K11" s="58">
        <f>'diesel used'!I11</f>
        <v>22</v>
      </c>
      <c r="L11" s="58">
        <f>'diesel used'!J11</f>
        <v>2146</v>
      </c>
      <c r="M11" s="63">
        <f>IFERROR(L11/K11, "X")</f>
        <v>97.545454545454547</v>
      </c>
      <c r="P11" s="58">
        <f>'diesel used'!N11</f>
        <v>192</v>
      </c>
      <c r="Q11" s="58">
        <f>'diesel used'!O11</f>
        <v>2954</v>
      </c>
      <c r="R11" s="63">
        <f>IFERROR(Q11/P11, "X")</f>
        <v>15.385416666666666</v>
      </c>
      <c r="U11" s="58">
        <f>'diesel used'!S11</f>
        <v>90</v>
      </c>
      <c r="V11" s="58">
        <f>'diesel used'!T11</f>
        <v>2864</v>
      </c>
      <c r="W11" s="63">
        <f>IFERROR(V11/U11, "X")</f>
        <v>31.822222222222223</v>
      </c>
      <c r="Z11" s="58">
        <f>'diesel used'!X11</f>
        <v>378</v>
      </c>
      <c r="AA11" s="58">
        <f>'diesel used'!Y11</f>
        <v>2486</v>
      </c>
      <c r="AB11" s="63">
        <f>IFERROR(AA11/Z11, "X")</f>
        <v>6.5767195767195767</v>
      </c>
      <c r="AE11" s="58">
        <f>'diesel used'!AC11</f>
        <v>159</v>
      </c>
      <c r="AF11" s="58">
        <f>'diesel used'!AD11</f>
        <v>2327</v>
      </c>
      <c r="AG11" s="63">
        <f>IFERROR(AF11/AE11, "X")</f>
        <v>14.635220125786164</v>
      </c>
      <c r="AJ11" s="58">
        <f>'diesel used'!AH11</f>
        <v>0</v>
      </c>
      <c r="AK11" s="58">
        <f>'diesel used'!AI11</f>
        <v>0</v>
      </c>
      <c r="AL11" s="63" t="str">
        <f>IFERROR(AK11/AJ11, "X")</f>
        <v>X</v>
      </c>
    </row>
    <row r="12" spans="1:38">
      <c r="A12" s="57">
        <f>'diesel used'!A12</f>
        <v>5</v>
      </c>
      <c r="B12" s="57" t="s">
        <v>112</v>
      </c>
      <c r="C12" t="str">
        <f>'diesel used'!B12</f>
        <v>CMDGSK</v>
      </c>
      <c r="D12" t="str">
        <f>'diesel used'!C12</f>
        <v>Regular</v>
      </c>
      <c r="H12" t="str">
        <f>RIGHT('diesel used'!F12, LEN('diesel used'!F12) - FIND("-", 'diesel used'!F12))</f>
        <v>550</v>
      </c>
      <c r="K12" s="58">
        <f>'diesel used'!I12</f>
        <v>309</v>
      </c>
      <c r="L12" s="58">
        <f>'diesel used'!J12</f>
        <v>6809</v>
      </c>
      <c r="M12" s="63">
        <f>IFERROR(L12/K12, "X")</f>
        <v>22.035598705501616</v>
      </c>
      <c r="P12" s="58">
        <f>'diesel used'!N12</f>
        <v>373</v>
      </c>
      <c r="Q12" s="58">
        <f>'diesel used'!O12</f>
        <v>6418</v>
      </c>
      <c r="R12" s="63">
        <f>IFERROR(Q12/P12, "X")</f>
        <v>17.206434316353889</v>
      </c>
      <c r="U12" s="58">
        <f>'diesel used'!S12</f>
        <v>418</v>
      </c>
      <c r="V12" s="58">
        <f>'diesel used'!T12</f>
        <v>6100</v>
      </c>
      <c r="W12" s="63">
        <f>IFERROR(V12/U12, "X")</f>
        <v>14.593301435406699</v>
      </c>
      <c r="Z12" s="58">
        <f>'diesel used'!X12</f>
        <v>386</v>
      </c>
      <c r="AA12" s="58">
        <f>'diesel used'!Y12</f>
        <v>5786</v>
      </c>
      <c r="AB12" s="63">
        <f>IFERROR(AA12/Z12, "X")</f>
        <v>14.989637305699482</v>
      </c>
      <c r="AE12" s="58">
        <f>'diesel used'!AC12</f>
        <v>205</v>
      </c>
      <c r="AF12" s="58">
        <f>'diesel used'!AD12</f>
        <v>5409</v>
      </c>
      <c r="AG12" s="63">
        <f>IFERROR(AF12/AE12, "X")</f>
        <v>26.385365853658538</v>
      </c>
      <c r="AJ12" s="58">
        <f>'diesel used'!AH12</f>
        <v>0</v>
      </c>
      <c r="AK12" s="58">
        <f>'diesel used'!AI12</f>
        <v>0</v>
      </c>
      <c r="AL12" s="63" t="str">
        <f>IFERROR(AK12/AJ12, "X")</f>
        <v>X</v>
      </c>
    </row>
    <row r="13" spans="1:38">
      <c r="A13" s="57">
        <f>'diesel used'!A13</f>
        <v>6</v>
      </c>
      <c r="B13" s="57" t="s">
        <v>112</v>
      </c>
      <c r="C13" t="str">
        <f>'diesel used'!B13</f>
        <v>CMKSM</v>
      </c>
      <c r="D13" t="str">
        <f>'diesel used'!C13</f>
        <v>Regular</v>
      </c>
      <c r="H13" t="str">
        <f>RIGHT('diesel used'!F13, LEN('diesel used'!F13) - FIND("-", 'diesel used'!F13))</f>
        <v>100</v>
      </c>
      <c r="K13" s="58">
        <f>'diesel used'!I13+'diesel used'!I14+'diesel used'!I15</f>
        <v>0</v>
      </c>
      <c r="L13" s="58">
        <f>'diesel used'!J13</f>
        <v>0</v>
      </c>
      <c r="M13" s="63" t="str">
        <f>IFERROR(L13/K13, "X")</f>
        <v>X</v>
      </c>
      <c r="P13" s="58">
        <f>'diesel used'!N13+'diesel used'!N14+'diesel used'!N15</f>
        <v>45.46</v>
      </c>
      <c r="Q13" s="58">
        <f>'diesel used'!O13</f>
        <v>3041.01</v>
      </c>
      <c r="R13" s="63">
        <f>IFERROR(Q13/P13, "X")</f>
        <v>66.894192696876374</v>
      </c>
      <c r="U13" s="58">
        <f>'diesel used'!S13+'diesel used'!S14+'diesel used'!S15</f>
        <v>0</v>
      </c>
      <c r="V13" s="58">
        <f>'diesel used'!T13</f>
        <v>2995.55</v>
      </c>
      <c r="W13" s="63" t="str">
        <f>IFERROR(V13/U13, "X")</f>
        <v>X</v>
      </c>
      <c r="Z13" s="58">
        <f>'diesel used'!X13+'diesel used'!X14+'diesel used'!X15</f>
        <v>68.19</v>
      </c>
      <c r="AA13" s="58">
        <f>'diesel used'!Y13</f>
        <v>2927.36</v>
      </c>
      <c r="AB13" s="63">
        <f>IFERROR(AA13/Z13, "X")</f>
        <v>42.92946179791759</v>
      </c>
      <c r="AE13" s="58">
        <f>'diesel used'!AC13+'diesel used'!AC14+'diesel used'!AC15</f>
        <v>54.552</v>
      </c>
      <c r="AF13" s="58">
        <f>'diesel used'!AD13</f>
        <v>2872.808</v>
      </c>
      <c r="AG13" s="63">
        <f>IFERROR(AF13/AE13, "X")</f>
        <v>52.661827247396978</v>
      </c>
      <c r="AJ13" s="58">
        <f>'diesel used'!AH13+'diesel used'!AH14+'diesel used'!AH15</f>
        <v>0</v>
      </c>
      <c r="AK13" s="58">
        <f>'diesel used'!AI13</f>
        <v>0</v>
      </c>
      <c r="AL13" s="63" t="str">
        <f>IFERROR(AK13/AJ13, "X")</f>
        <v>X</v>
      </c>
    </row>
    <row r="14" spans="1:38">
      <c r="A14" s="57">
        <f>'diesel used'!A14</f>
        <v>7</v>
      </c>
      <c r="B14" s="57" t="s">
        <v>112</v>
      </c>
      <c r="C14" t="str">
        <f>'diesel used'!B14</f>
        <v>CMKSM</v>
      </c>
      <c r="D14" t="str">
        <f>'diesel used'!C14</f>
        <v>Regular</v>
      </c>
      <c r="H14" t="str">
        <f>RIGHT('diesel used'!F14, LEN('diesel used'!F14) - FIND("-", 'diesel used'!F14))</f>
        <v>350</v>
      </c>
      <c r="K14" s="58"/>
      <c r="L14" s="58"/>
      <c r="P14" s="58"/>
      <c r="Q14" s="58"/>
      <c r="R14" s="63"/>
      <c r="U14" s="58"/>
      <c r="V14" s="58"/>
      <c r="W14" s="63"/>
      <c r="Z14" s="58"/>
      <c r="AA14" s="58"/>
      <c r="AB14" s="63"/>
      <c r="AE14" s="58"/>
      <c r="AF14" s="58"/>
      <c r="AG14" s="63"/>
      <c r="AJ14" s="58"/>
      <c r="AK14" s="58"/>
      <c r="AL14" s="63"/>
    </row>
    <row r="15" spans="1:38">
      <c r="A15" s="57">
        <f>'diesel used'!A15</f>
        <v>8</v>
      </c>
      <c r="B15" s="57" t="s">
        <v>112</v>
      </c>
      <c r="C15" t="str">
        <f>'diesel used'!B15</f>
        <v>CMKSM</v>
      </c>
      <c r="D15" t="str">
        <f>'diesel used'!C15</f>
        <v>Regular</v>
      </c>
      <c r="H15" t="str">
        <f>RIGHT('diesel used'!F15, LEN('diesel used'!F15) - FIND("-", 'diesel used'!F15))</f>
        <v>275</v>
      </c>
      <c r="I15" s="60"/>
      <c r="K15" s="58"/>
      <c r="L15" s="58"/>
      <c r="P15" s="58"/>
      <c r="Q15" s="58"/>
      <c r="R15" s="63"/>
      <c r="U15" s="58"/>
      <c r="V15" s="58"/>
      <c r="W15" s="63"/>
      <c r="Z15" s="58"/>
      <c r="AA15" s="58"/>
      <c r="AB15" s="63"/>
      <c r="AE15" s="58"/>
      <c r="AF15" s="58"/>
      <c r="AG15" s="63"/>
      <c r="AJ15" s="58"/>
      <c r="AK15" s="58"/>
      <c r="AL15" s="63"/>
    </row>
    <row r="16" spans="1:38">
      <c r="A16" s="57">
        <f>'diesel used'!A16</f>
        <v>9</v>
      </c>
      <c r="B16" s="57" t="s">
        <v>112</v>
      </c>
      <c r="C16" t="str">
        <f>'diesel used'!B16</f>
        <v>CMLNP</v>
      </c>
      <c r="D16" t="str">
        <f>'diesel used'!C16</f>
        <v>Regular</v>
      </c>
      <c r="H16" t="str">
        <f>RIGHT('diesel used'!F16, LEN('diesel used'!F16) - FIND("-", 'diesel used'!F16))</f>
        <v>500</v>
      </c>
      <c r="K16" s="58">
        <f>'diesel used'!I16+'diesel used'!I17</f>
        <v>0</v>
      </c>
      <c r="L16" s="58">
        <f>'diesel used'!J16</f>
        <v>3145.712</v>
      </c>
      <c r="M16" s="63" t="str">
        <f>IFERROR(L16/K16, "X")</f>
        <v>X</v>
      </c>
      <c r="P16" s="58">
        <f>'diesel used'!N16+'diesel used'!N17</f>
        <v>218.07599999999999</v>
      </c>
      <c r="Q16" s="58">
        <f>'diesel used'!O16</f>
        <v>5027.6360000000004</v>
      </c>
      <c r="R16" s="63">
        <f>IFERROR(Q16/P16, "X")</f>
        <v>23.054513105522847</v>
      </c>
      <c r="U16" s="58">
        <f>'diesel used'!S16+'diesel used'!S17</f>
        <v>0</v>
      </c>
      <c r="V16" s="58">
        <f>'diesel used'!T16</f>
        <v>5027.6360000000004</v>
      </c>
      <c r="W16" s="63" t="str">
        <f>IFERROR(V16/U16, "X")</f>
        <v>X</v>
      </c>
      <c r="Z16" s="58">
        <f>'diesel used'!X16+'diesel used'!X17</f>
        <v>0</v>
      </c>
      <c r="AA16" s="58">
        <f>'diesel used'!Y16</f>
        <v>5027.6360000000004</v>
      </c>
      <c r="AB16" s="63" t="str">
        <f>IFERROR(AA16/Z16, "X")</f>
        <v>X</v>
      </c>
      <c r="AE16" s="58">
        <f>'diesel used'!AC16+'diesel used'!AC17</f>
        <v>0</v>
      </c>
      <c r="AF16" s="58">
        <f>'diesel used'!AD16</f>
        <v>5027.6360000000004</v>
      </c>
      <c r="AG16" s="63" t="str">
        <f>IFERROR(AF16/AE16, "X")</f>
        <v>X</v>
      </c>
      <c r="AJ16" s="58">
        <f>'diesel used'!AH16+'diesel used'!AH17</f>
        <v>0</v>
      </c>
      <c r="AK16" s="58">
        <f>'diesel used'!AI16</f>
        <v>0</v>
      </c>
      <c r="AL16" s="63" t="str">
        <f>IFERROR(AK16/AJ16, "X")</f>
        <v>X</v>
      </c>
    </row>
    <row r="17" spans="1:38">
      <c r="A17" s="57">
        <f>'diesel used'!A17</f>
        <v>10</v>
      </c>
      <c r="B17" s="57" t="s">
        <v>112</v>
      </c>
      <c r="C17" t="str">
        <f>'diesel used'!B17</f>
        <v>CMLNP</v>
      </c>
      <c r="D17" t="str">
        <f>'diesel used'!C17</f>
        <v>Regular</v>
      </c>
      <c r="H17" t="str">
        <f>RIGHT('diesel used'!F17, LEN('diesel used'!F17) - FIND("-", 'diesel used'!F17))</f>
        <v>500</v>
      </c>
      <c r="K17" s="58"/>
      <c r="L17" s="58"/>
      <c r="P17" s="58"/>
      <c r="Q17" s="58"/>
      <c r="R17" s="63"/>
      <c r="U17" s="58"/>
      <c r="V17" s="58"/>
      <c r="W17" s="63"/>
      <c r="Z17" s="58"/>
      <c r="AA17" s="58"/>
      <c r="AB17" s="63"/>
      <c r="AE17" s="58"/>
      <c r="AF17" s="58"/>
      <c r="AG17" s="63"/>
      <c r="AJ17" s="58"/>
      <c r="AK17" s="58"/>
      <c r="AL17" s="63"/>
    </row>
    <row r="18" spans="1:38">
      <c r="A18" s="57">
        <f>'diesel used'!A18</f>
        <v>12</v>
      </c>
      <c r="B18" s="57" t="s">
        <v>112</v>
      </c>
      <c r="C18" t="str">
        <f>'diesel used'!B18</f>
        <v>CMLPZD</v>
      </c>
      <c r="D18" t="str">
        <f>'diesel used'!C18</f>
        <v>Regular</v>
      </c>
      <c r="H18" t="str">
        <f>RIGHT('diesel used'!F18, LEN('diesel used'!F18) - FIND("-", 'diesel used'!F18))</f>
        <v>500</v>
      </c>
      <c r="K18" s="58">
        <f>'diesel used'!I18+'diesel used'!I19+'diesel used'!I20</f>
        <v>296</v>
      </c>
      <c r="L18" s="58">
        <f>'diesel used'!J18</f>
        <v>4501</v>
      </c>
      <c r="M18" s="63">
        <f>IFERROR(L18/K18, "X")</f>
        <v>15.206081081081081</v>
      </c>
      <c r="P18" s="58">
        <f>'diesel used'!N18+'diesel used'!N19+'diesel used'!N20</f>
        <v>186</v>
      </c>
      <c r="Q18" s="58">
        <f>'diesel used'!O18</f>
        <v>4700</v>
      </c>
      <c r="R18" s="63">
        <f>IFERROR(Q18/P18, "X")</f>
        <v>25.268817204301076</v>
      </c>
      <c r="U18" s="58">
        <f>'diesel used'!S18+'diesel used'!S19+'diesel used'!S20</f>
        <v>78</v>
      </c>
      <c r="V18" s="58">
        <f>'diesel used'!T18</f>
        <v>4610</v>
      </c>
      <c r="W18" s="63">
        <f>IFERROR(V18/U18, "X")</f>
        <v>59.102564102564102</v>
      </c>
      <c r="Z18" s="58">
        <f>'diesel used'!X18+'diesel used'!X19+'diesel used'!X20</f>
        <v>577</v>
      </c>
      <c r="AA18" s="58">
        <f>'diesel used'!Y18</f>
        <v>4182</v>
      </c>
      <c r="AB18" s="63">
        <f>IFERROR(AA18/Z18, "X")</f>
        <v>7.247833622183709</v>
      </c>
      <c r="AE18" s="58">
        <f>'diesel used'!AC18+'diesel used'!AC19+'diesel used'!AC20</f>
        <v>213</v>
      </c>
      <c r="AF18" s="58">
        <f>'diesel used'!AD18</f>
        <v>3787</v>
      </c>
      <c r="AG18" s="63">
        <f>IFERROR(AF18/AE18, "X")</f>
        <v>17.779342723004696</v>
      </c>
      <c r="AJ18" s="58">
        <f>'diesel used'!AH18+'diesel used'!AH19+'diesel used'!AH20</f>
        <v>0</v>
      </c>
      <c r="AK18" s="58">
        <f>'diesel used'!AI18</f>
        <v>0</v>
      </c>
      <c r="AL18" s="63" t="str">
        <f>IFERROR(AK18/AJ18, "X")</f>
        <v>X</v>
      </c>
    </row>
    <row r="19" spans="1:38">
      <c r="A19" s="57">
        <f>'diesel used'!A19</f>
        <v>11</v>
      </c>
      <c r="B19" s="57" t="s">
        <v>112</v>
      </c>
      <c r="C19" t="str">
        <f>'diesel used'!B19</f>
        <v>CMLPZD</v>
      </c>
      <c r="D19" t="str">
        <f>'diesel used'!C19</f>
        <v>Regular</v>
      </c>
      <c r="H19" t="str">
        <f>RIGHT('diesel used'!F19, LEN('diesel used'!F19) - FIND("-", 'diesel used'!F19))</f>
        <v>550</v>
      </c>
      <c r="K19" s="58"/>
      <c r="L19" s="85">
        <f>'diesel used'!J19</f>
        <v>4387</v>
      </c>
      <c r="P19" s="58"/>
      <c r="Q19" s="85">
        <f>'diesel used'!O19</f>
        <v>4655</v>
      </c>
      <c r="R19" s="63"/>
      <c r="U19" s="58"/>
      <c r="V19" s="85">
        <f>'diesel used'!T19</f>
        <v>4577</v>
      </c>
      <c r="W19" s="63"/>
      <c r="Z19" s="58"/>
      <c r="AA19" s="85">
        <f>'diesel used'!Y19</f>
        <v>4000</v>
      </c>
      <c r="AB19" s="63"/>
      <c r="AE19" s="58"/>
      <c r="AF19" s="85">
        <f>'diesel used'!AD19</f>
        <v>0</v>
      </c>
      <c r="AG19" s="63"/>
      <c r="AJ19" s="58"/>
      <c r="AK19" s="85">
        <f>'diesel used'!AI19</f>
        <v>0</v>
      </c>
      <c r="AL19" s="63"/>
    </row>
    <row r="20" spans="1:38">
      <c r="A20" s="57">
        <f>'diesel used'!A20</f>
        <v>13</v>
      </c>
      <c r="B20" s="57" t="s">
        <v>112</v>
      </c>
      <c r="C20" t="str">
        <f>'diesel used'!B20</f>
        <v>CMLPZD</v>
      </c>
      <c r="D20" t="str">
        <f>'diesel used'!C20</f>
        <v>Regular</v>
      </c>
      <c r="H20" t="str">
        <f>RIGHT('diesel used'!F20, LEN('diesel used'!F20) - FIND("-", 'diesel used'!F20))</f>
        <v>700</v>
      </c>
      <c r="K20" s="58"/>
      <c r="L20" s="58">
        <f>'diesel used'!J20</f>
        <v>0</v>
      </c>
      <c r="P20" s="58"/>
      <c r="Q20" s="58">
        <f>'diesel used'!O20</f>
        <v>0</v>
      </c>
      <c r="R20" s="63"/>
      <c r="U20" s="58"/>
      <c r="V20" s="58">
        <f>'diesel used'!T20</f>
        <v>0</v>
      </c>
      <c r="W20" s="63"/>
      <c r="Z20" s="58"/>
      <c r="AA20" s="58">
        <f>'diesel used'!Y20</f>
        <v>0</v>
      </c>
      <c r="AB20" s="63"/>
      <c r="AE20" s="58"/>
      <c r="AF20" s="58">
        <f>'diesel used'!AD20</f>
        <v>0</v>
      </c>
      <c r="AG20" s="63"/>
      <c r="AJ20" s="58"/>
      <c r="AK20" s="58">
        <f>'diesel used'!AI20</f>
        <v>0</v>
      </c>
      <c r="AL20" s="63"/>
    </row>
    <row r="21" spans="1:38">
      <c r="A21" s="57">
        <f>'diesel used'!A21</f>
        <v>14</v>
      </c>
      <c r="B21" s="57" t="s">
        <v>112</v>
      </c>
      <c r="C21" t="str">
        <f>'diesel used'!B21</f>
        <v>CMLSPL</v>
      </c>
      <c r="D21" t="str">
        <f>'diesel used'!C21</f>
        <v>Regular</v>
      </c>
      <c r="H21" t="str">
        <f>RIGHT('diesel used'!F21, LEN('diesel used'!F21) - FIND("-", 'diesel used'!F21))</f>
        <v>200</v>
      </c>
      <c r="K21" s="58">
        <f>'diesel used'!I21+'diesel used'!I22+'diesel used'!I23</f>
        <v>527</v>
      </c>
      <c r="L21" s="58">
        <f>'diesel used'!J21</f>
        <v>0</v>
      </c>
      <c r="M21" s="63">
        <f>IFERROR(L21/K21, "X")</f>
        <v>0</v>
      </c>
      <c r="P21" s="58">
        <f>'diesel used'!N21+'diesel used'!N22+'diesel used'!N23</f>
        <v>386</v>
      </c>
      <c r="Q21" s="58">
        <f>'diesel used'!O21</f>
        <v>0</v>
      </c>
      <c r="R21" s="63">
        <f>IFERROR(Q21/P21, "X")</f>
        <v>0</v>
      </c>
      <c r="U21" s="58">
        <f>'diesel used'!S21+'diesel used'!S22+'diesel used'!S23</f>
        <v>296</v>
      </c>
      <c r="V21" s="58">
        <f>'diesel used'!T21</f>
        <v>5041</v>
      </c>
      <c r="W21" s="63">
        <f>IFERROR(V21/U21, "X")</f>
        <v>17.030405405405407</v>
      </c>
      <c r="Z21" s="58">
        <f>'diesel used'!X21+'diesel used'!X22+'diesel used'!X23</f>
        <v>1183</v>
      </c>
      <c r="AA21" s="58">
        <f>'diesel used'!Y21</f>
        <v>3858</v>
      </c>
      <c r="AB21" s="86">
        <f>IFERROR(AA21/Z21, "X")</f>
        <v>3.2612003381234151</v>
      </c>
      <c r="AE21" s="58">
        <f>'diesel used'!AC21+'diesel used'!AC22+'diesel used'!AC23</f>
        <v>103</v>
      </c>
      <c r="AF21" s="58">
        <f>'diesel used'!AD21</f>
        <v>3755</v>
      </c>
      <c r="AG21" s="63">
        <f>IFERROR(AF21/AE21, "X")</f>
        <v>36.456310679611647</v>
      </c>
      <c r="AJ21" s="58">
        <f>'diesel used'!AH21+'diesel used'!AH22+'diesel used'!AH23</f>
        <v>0</v>
      </c>
      <c r="AK21" s="58">
        <f>'diesel used'!AI21</f>
        <v>0</v>
      </c>
      <c r="AL21" s="63" t="str">
        <f>IFERROR(AK21/AJ21, "X")</f>
        <v>X</v>
      </c>
    </row>
    <row r="22" spans="1:38">
      <c r="A22" s="57">
        <f>'diesel used'!A22</f>
        <v>15</v>
      </c>
      <c r="B22" s="57" t="s">
        <v>112</v>
      </c>
      <c r="C22" t="str">
        <f>'diesel used'!B22</f>
        <v>CMLSPL</v>
      </c>
      <c r="D22" t="str">
        <f>'diesel used'!C22</f>
        <v>Regular</v>
      </c>
      <c r="H22" t="str">
        <f>RIGHT('diesel used'!F22, LEN('diesel used'!F22) - FIND("-", 'diesel used'!F22))</f>
        <v>727</v>
      </c>
      <c r="K22" s="58"/>
      <c r="L22" s="58">
        <f>'diesel used'!J22</f>
        <v>0</v>
      </c>
      <c r="P22" s="58"/>
      <c r="Q22" s="58">
        <f>'diesel used'!O22</f>
        <v>0</v>
      </c>
      <c r="R22" s="63"/>
      <c r="U22" s="58"/>
      <c r="V22" s="58">
        <f>'diesel used'!T22</f>
        <v>0</v>
      </c>
      <c r="W22" s="63"/>
      <c r="Z22" s="58"/>
      <c r="AA22" s="58">
        <f>'diesel used'!Y22</f>
        <v>0</v>
      </c>
      <c r="AB22" s="63"/>
      <c r="AE22" s="58"/>
      <c r="AF22" s="58">
        <f>'diesel used'!AD22</f>
        <v>0</v>
      </c>
      <c r="AG22" s="63"/>
      <c r="AJ22" s="58"/>
      <c r="AK22" s="58">
        <f>'diesel used'!AI22</f>
        <v>0</v>
      </c>
      <c r="AL22" s="63"/>
    </row>
    <row r="23" spans="1:38">
      <c r="A23" s="57">
        <f>'diesel used'!A23</f>
        <v>16</v>
      </c>
      <c r="B23" s="57" t="s">
        <v>112</v>
      </c>
      <c r="C23" t="str">
        <f>'diesel used'!B23</f>
        <v>CMLSPL</v>
      </c>
      <c r="D23" t="str">
        <f>'diesel used'!C23</f>
        <v>Regular</v>
      </c>
      <c r="H23" t="str">
        <f>RIGHT('diesel used'!F23, LEN('diesel used'!F23) - FIND("-", 'diesel used'!F23))</f>
        <v>500</v>
      </c>
      <c r="K23" s="58"/>
      <c r="L23" s="85">
        <f>'diesel used'!J23</f>
        <v>4723</v>
      </c>
      <c r="P23" s="58"/>
      <c r="Q23" s="85">
        <f>'diesel used'!O23</f>
        <v>5337</v>
      </c>
      <c r="R23" s="63"/>
      <c r="U23" s="58"/>
      <c r="V23" s="85">
        <f>'diesel used'!T23</f>
        <v>0</v>
      </c>
      <c r="W23" s="63"/>
      <c r="Z23" s="58"/>
      <c r="AA23" s="85">
        <f>'diesel used'!Y23</f>
        <v>0</v>
      </c>
      <c r="AB23" s="63"/>
      <c r="AE23" s="58"/>
      <c r="AF23" s="85">
        <f>'diesel used'!AD23</f>
        <v>0</v>
      </c>
      <c r="AG23" s="63"/>
      <c r="AJ23" s="58"/>
      <c r="AK23" s="85">
        <f>'diesel used'!AI23</f>
        <v>0</v>
      </c>
      <c r="AL23" s="63"/>
    </row>
    <row r="24" spans="1:38">
      <c r="A24" s="57">
        <f>'diesel used'!A24</f>
        <v>17</v>
      </c>
      <c r="B24" s="57" t="s">
        <v>112</v>
      </c>
      <c r="C24" t="str">
        <f>'diesel used'!B24</f>
        <v>CMMNG</v>
      </c>
      <c r="D24" t="str">
        <f>'diesel used'!C24</f>
        <v>Regular</v>
      </c>
      <c r="H24" t="str">
        <f>RIGHT('diesel used'!F24, LEN('diesel used'!F24) - FIND("-", 'diesel used'!F24))</f>
        <v>700</v>
      </c>
      <c r="K24" s="58">
        <f>'diesel used'!I24</f>
        <v>136.30799999999999</v>
      </c>
      <c r="L24" s="58">
        <f>'diesel used'!J24</f>
        <v>2627.42</v>
      </c>
      <c r="M24" s="63">
        <f>IFERROR(L24/K24, "X")</f>
        <v>19.275611116001997</v>
      </c>
      <c r="P24" s="58">
        <f>'diesel used'!N24</f>
        <v>72.736000000000004</v>
      </c>
      <c r="Q24" s="58">
        <f>'diesel used'!O24</f>
        <v>2554.6840000000002</v>
      </c>
      <c r="R24" s="63">
        <f>IFERROR(Q24/P24, "X")</f>
        <v>35.12269027716674</v>
      </c>
      <c r="U24" s="58">
        <f>'diesel used'!S24</f>
        <v>0</v>
      </c>
      <c r="V24" s="58">
        <f>'diesel used'!T24</f>
        <v>2554.6840000000002</v>
      </c>
      <c r="W24" s="63" t="str">
        <f>IFERROR(V24/U24, "X")</f>
        <v>X</v>
      </c>
      <c r="Z24" s="58">
        <f>'diesel used'!X24</f>
        <v>113.65</v>
      </c>
      <c r="AA24" s="58">
        <f>'diesel used'!Y24</f>
        <v>2441.0340000000001</v>
      </c>
      <c r="AB24" s="63">
        <f>IFERROR(AA24/Z24, "X")</f>
        <v>21.478521777386714</v>
      </c>
      <c r="AE24" s="58">
        <f>'diesel used'!AC24</f>
        <v>0</v>
      </c>
      <c r="AF24" s="58">
        <f>'diesel used'!AD24</f>
        <v>2441.0340000000001</v>
      </c>
      <c r="AG24" s="63" t="str">
        <f>IFERROR(AF24/AE24, "X")</f>
        <v>X</v>
      </c>
      <c r="AJ24" s="58">
        <f>'diesel used'!AH24</f>
        <v>0</v>
      </c>
      <c r="AK24" s="58">
        <f>'diesel used'!AI24</f>
        <v>0</v>
      </c>
      <c r="AL24" s="63" t="str">
        <f>IFERROR(AK24/AJ24, "X")</f>
        <v>X</v>
      </c>
    </row>
    <row r="25" spans="1:38">
      <c r="A25" s="57">
        <f>'diesel used'!A25</f>
        <v>18</v>
      </c>
      <c r="B25" s="57" t="s">
        <v>112</v>
      </c>
      <c r="C25" t="str">
        <f>'diesel used'!B25</f>
        <v>CMPale</v>
      </c>
      <c r="D25" t="str">
        <f>'diesel used'!C25</f>
        <v>Regular</v>
      </c>
      <c r="H25" t="str">
        <f>RIGHT('diesel used'!F25, LEN('diesel used'!F25) - FIND("-", 'diesel used'!F25))</f>
        <v>220</v>
      </c>
      <c r="K25" s="58">
        <f>'diesel used'!I25+'diesel used'!I26</f>
        <v>202.5</v>
      </c>
      <c r="L25" s="58">
        <f>'diesel used'!J25</f>
        <v>1912.5</v>
      </c>
      <c r="M25" s="63">
        <f>IFERROR(L25/K25, "X")</f>
        <v>9.4444444444444446</v>
      </c>
      <c r="P25" s="58">
        <f>'diesel used'!N25+'diesel used'!N26</f>
        <v>247.5</v>
      </c>
      <c r="Q25" s="58">
        <f>'diesel used'!O25</f>
        <v>1650</v>
      </c>
      <c r="R25" s="63">
        <f>IFERROR(Q25/P25, "X")</f>
        <v>6.666666666666667</v>
      </c>
      <c r="U25" s="58">
        <f>'diesel used'!S25+'diesel used'!S26</f>
        <v>0</v>
      </c>
      <c r="V25" s="58">
        <f>'diesel used'!T25</f>
        <v>2650</v>
      </c>
      <c r="W25" s="63" t="str">
        <f>IFERROR(V25/U25, "X")</f>
        <v>X</v>
      </c>
      <c r="Z25" s="58">
        <f>'diesel used'!X25+'diesel used'!X26</f>
        <v>225</v>
      </c>
      <c r="AA25" s="58">
        <f>'diesel used'!Y25</f>
        <v>2425</v>
      </c>
      <c r="AB25" s="63">
        <f>IFERROR(AA25/Z25, "X")</f>
        <v>10.777777777777779</v>
      </c>
      <c r="AE25" s="58">
        <f>'diesel used'!AC25+'diesel used'!AC26</f>
        <v>125</v>
      </c>
      <c r="AF25" s="58">
        <f>'diesel used'!AD25</f>
        <v>2300</v>
      </c>
      <c r="AG25" s="63">
        <f>IFERROR(AF25/AE25, "X")</f>
        <v>18.399999999999999</v>
      </c>
      <c r="AJ25" s="58">
        <f>'diesel used'!AH25+'diesel used'!AH26</f>
        <v>0</v>
      </c>
      <c r="AK25" s="58">
        <f>'diesel used'!AI25</f>
        <v>0</v>
      </c>
      <c r="AL25" s="63" t="str">
        <f>IFERROR(AK25/AJ25, "X")</f>
        <v>X</v>
      </c>
    </row>
    <row r="26" spans="1:38">
      <c r="A26" s="57">
        <f>'diesel used'!A26</f>
        <v>19</v>
      </c>
      <c r="B26" s="57" t="s">
        <v>112</v>
      </c>
      <c r="C26" t="str">
        <f>'diesel used'!B26</f>
        <v>CMPale</v>
      </c>
      <c r="D26" t="str">
        <f>'diesel used'!C26</f>
        <v>Regular</v>
      </c>
      <c r="H26" t="str">
        <f>RIGHT('diesel used'!F26, LEN('diesel used'!F26) - FIND("-", 'diesel used'!F26))</f>
        <v>350</v>
      </c>
      <c r="K26" s="58"/>
      <c r="L26" s="58">
        <f>'diesel used'!J26</f>
        <v>1913</v>
      </c>
      <c r="P26" s="58"/>
      <c r="Q26" s="58">
        <f>'diesel used'!O26</f>
        <v>0</v>
      </c>
      <c r="R26" s="63"/>
      <c r="U26" s="58"/>
      <c r="V26" s="58">
        <f>'diesel used'!T26</f>
        <v>0</v>
      </c>
      <c r="W26" s="63"/>
      <c r="Z26" s="58"/>
      <c r="AA26" s="58">
        <f>'diesel used'!Y26</f>
        <v>0</v>
      </c>
      <c r="AB26" s="63"/>
      <c r="AE26" s="58"/>
      <c r="AF26" s="58">
        <f>'diesel used'!AD26</f>
        <v>0</v>
      </c>
      <c r="AG26" s="63"/>
      <c r="AJ26" s="58"/>
      <c r="AK26" s="58">
        <f>'diesel used'!AI26</f>
        <v>0</v>
      </c>
      <c r="AL26" s="63"/>
    </row>
    <row r="27" spans="1:38">
      <c r="A27" s="57">
        <f>'diesel used'!A27</f>
        <v>20</v>
      </c>
      <c r="B27" s="57" t="s">
        <v>112</v>
      </c>
      <c r="C27" t="str">
        <f>'diesel used'!B27</f>
        <v>CMPLST</v>
      </c>
      <c r="D27" t="str">
        <f>'diesel used'!C27</f>
        <v>Regular</v>
      </c>
      <c r="H27" t="str">
        <f>RIGHT('diesel used'!F27, LEN('diesel used'!F27) - FIND("-", 'diesel used'!F27))</f>
        <v>100</v>
      </c>
      <c r="K27" s="58">
        <f>'diesel used'!I27+'diesel used'!I28</f>
        <v>95.05</v>
      </c>
      <c r="L27" s="58">
        <f>'diesel used'!J27</f>
        <v>2837.5</v>
      </c>
      <c r="M27" s="63">
        <f>IFERROR(L27/K27, "X")</f>
        <v>29.852709100473437</v>
      </c>
      <c r="P27" s="58">
        <f>'diesel used'!N27+'diesel used'!N28</f>
        <v>36.4</v>
      </c>
      <c r="Q27" s="58">
        <f>'diesel used'!O27</f>
        <v>2678.75</v>
      </c>
      <c r="R27" s="63">
        <f>IFERROR(Q27/P27, "X")</f>
        <v>73.592032967032964</v>
      </c>
      <c r="U27" s="58">
        <f>'diesel used'!S27+'diesel used'!S28</f>
        <v>31.85</v>
      </c>
      <c r="V27" s="58">
        <f>'diesel used'!T27</f>
        <v>2678.75</v>
      </c>
      <c r="W27" s="63">
        <f>IFERROR(V27/U27, "X")</f>
        <v>84.105180533751962</v>
      </c>
      <c r="Z27" s="58">
        <f>'diesel used'!X27+'diesel used'!X28</f>
        <v>350.35</v>
      </c>
      <c r="AA27" s="58">
        <f>'diesel used'!Y27</f>
        <v>2360.25</v>
      </c>
      <c r="AB27" s="63">
        <f>IFERROR(AA27/Z27, "X")</f>
        <v>6.7368345939774503</v>
      </c>
      <c r="AE27" s="58">
        <f>'diesel used'!AC27+'diesel used'!AC28</f>
        <v>68.25</v>
      </c>
      <c r="AF27" s="58">
        <f>'diesel used'!AD27</f>
        <v>2360.25</v>
      </c>
      <c r="AG27" s="63">
        <f>IFERROR(AF27/AE27, "X")</f>
        <v>34.582417582417584</v>
      </c>
      <c r="AJ27" s="58">
        <f>'diesel used'!AH27+'diesel used'!AH28</f>
        <v>0</v>
      </c>
      <c r="AK27" s="58">
        <f>'diesel used'!AI27</f>
        <v>0</v>
      </c>
      <c r="AL27" s="63" t="str">
        <f>IFERROR(AK27/AJ27, "X")</f>
        <v>X</v>
      </c>
    </row>
    <row r="28" spans="1:38">
      <c r="A28" s="57">
        <f>'diesel used'!A28</f>
        <v>21</v>
      </c>
      <c r="B28" s="57" t="s">
        <v>112</v>
      </c>
      <c r="C28" t="str">
        <f>'diesel used'!B28</f>
        <v>CMPLST</v>
      </c>
      <c r="D28" t="str">
        <f>'diesel used'!C28</f>
        <v>Regular</v>
      </c>
      <c r="H28" t="str">
        <f>RIGHT('diesel used'!F28, LEN('diesel used'!F28) - FIND("-", 'diesel used'!F28))</f>
        <v>550</v>
      </c>
      <c r="K28" s="58"/>
      <c r="L28" s="58"/>
      <c r="P28" s="58"/>
      <c r="Q28" s="58"/>
      <c r="R28" s="63"/>
      <c r="U28" s="58"/>
      <c r="V28" s="58"/>
      <c r="W28" s="63"/>
      <c r="Z28" s="58"/>
      <c r="AA28" s="58"/>
      <c r="AB28" s="63"/>
      <c r="AE28" s="58"/>
      <c r="AF28" s="58"/>
      <c r="AG28" s="63"/>
      <c r="AJ28" s="58"/>
      <c r="AK28" s="58"/>
      <c r="AL28" s="63"/>
    </row>
    <row r="29" spans="1:38">
      <c r="A29" s="57">
        <f>'diesel used'!A29</f>
        <v>22</v>
      </c>
      <c r="B29" s="57" t="s">
        <v>112</v>
      </c>
      <c r="C29" t="str">
        <f>'diesel used'!B29</f>
        <v>CMSDHG</v>
      </c>
      <c r="D29" t="str">
        <f>'diesel used'!C29</f>
        <v>Regular</v>
      </c>
      <c r="H29" t="str">
        <f>RIGHT('diesel used'!F29, LEN('diesel used'!F29) - FIND("-", 'diesel used'!F29))</f>
        <v>440</v>
      </c>
      <c r="K29" s="58">
        <f>'diesel used'!I29+'diesel used'!I30</f>
        <v>268.45</v>
      </c>
      <c r="L29" s="58">
        <f>'diesel used'!J29</f>
        <v>3355.3</v>
      </c>
      <c r="M29" s="63">
        <f>IFERROR(L29/K29, "X")</f>
        <v>12.498789346246975</v>
      </c>
      <c r="P29" s="58">
        <f>'diesel used'!N29+'diesel used'!N30</f>
        <v>349.75</v>
      </c>
      <c r="Q29" s="58">
        <f>'diesel used'!O29</f>
        <v>3005.55</v>
      </c>
      <c r="R29" s="63">
        <f>IFERROR(Q29/P29, "X")</f>
        <v>8.5934238741958549</v>
      </c>
      <c r="U29" s="58">
        <f>'diesel used'!S29+'diesel used'!S30</f>
        <v>359.45</v>
      </c>
      <c r="V29" s="58">
        <f>'diesel used'!T29</f>
        <v>2555.1</v>
      </c>
      <c r="W29" s="63">
        <f>IFERROR(V29/U29, "X")</f>
        <v>7.1083599944359435</v>
      </c>
      <c r="Z29" s="58">
        <f>'diesel used'!X29+'diesel used'!X30</f>
        <v>353.9</v>
      </c>
      <c r="AA29" s="58">
        <f>'diesel used'!Y29</f>
        <v>2201.1999999999998</v>
      </c>
      <c r="AB29" s="63">
        <f>IFERROR(AA29/Z29, "X")</f>
        <v>6.2198361118960159</v>
      </c>
      <c r="AE29" s="58">
        <f>'diesel used'!AC29+'diesel used'!AC30</f>
        <v>95.55</v>
      </c>
      <c r="AF29" s="58">
        <f>'diesel used'!AD29</f>
        <v>2105.65</v>
      </c>
      <c r="AG29" s="63">
        <f>IFERROR(AF29/AE29, "X")</f>
        <v>22.03715332286761</v>
      </c>
      <c r="AJ29" s="58">
        <f>'diesel used'!AH29+'diesel used'!AH30</f>
        <v>0</v>
      </c>
      <c r="AK29" s="58">
        <f>'diesel used'!AI29</f>
        <v>0</v>
      </c>
      <c r="AL29" s="63" t="str">
        <f>IFERROR(AK29/AJ29, "X")</f>
        <v>X</v>
      </c>
    </row>
    <row r="30" spans="1:38">
      <c r="A30" s="57">
        <f>'diesel used'!A30</f>
        <v>23</v>
      </c>
      <c r="B30" s="57" t="s">
        <v>112</v>
      </c>
      <c r="C30" t="str">
        <f>'diesel used'!B30</f>
        <v>CMSDHG</v>
      </c>
      <c r="D30" t="str">
        <f>'diesel used'!C30</f>
        <v>Regular</v>
      </c>
      <c r="H30" t="str">
        <f>RIGHT('diesel used'!F30, LEN('diesel used'!F30) - FIND("-", 'diesel used'!F30))</f>
        <v>440</v>
      </c>
      <c r="K30" s="58"/>
      <c r="L30" s="58"/>
      <c r="P30" s="58"/>
      <c r="Q30" s="58"/>
      <c r="R30" s="63"/>
      <c r="U30" s="58"/>
      <c r="V30" s="58"/>
      <c r="W30" s="63"/>
      <c r="Z30" s="58"/>
      <c r="AA30" s="58"/>
      <c r="AB30" s="63"/>
      <c r="AE30" s="58"/>
      <c r="AF30" s="58"/>
      <c r="AG30" s="63"/>
      <c r="AJ30" s="58"/>
      <c r="AK30" s="58"/>
      <c r="AL30" s="63"/>
    </row>
    <row r="31" spans="1:38">
      <c r="A31" s="57">
        <f>'diesel used'!A31</f>
        <v>24</v>
      </c>
      <c r="B31" s="57" t="s">
        <v>112</v>
      </c>
      <c r="C31" t="str">
        <f>'diesel used'!B31</f>
        <v>CMSPT</v>
      </c>
      <c r="D31" t="str">
        <f>'diesel used'!C31</f>
        <v>Regular</v>
      </c>
      <c r="H31" t="str">
        <f>RIGHT('diesel used'!F31, LEN('diesel used'!F31) - FIND("-", 'diesel used'!F31))</f>
        <v>440</v>
      </c>
      <c r="K31" s="58">
        <f>'diesel used'!I31</f>
        <v>181.84</v>
      </c>
      <c r="L31" s="58">
        <f>'diesel used'!J31</f>
        <v>2650.018</v>
      </c>
      <c r="M31" s="63">
        <f>IFERROR(L31/K31, "X")</f>
        <v>14.573350197976243</v>
      </c>
      <c r="P31" s="58">
        <f>'diesel used'!N31</f>
        <v>390.88400000000001</v>
      </c>
      <c r="Q31" s="58">
        <f>'diesel used'!O31</f>
        <v>2259.134</v>
      </c>
      <c r="R31" s="63">
        <f>IFERROR(Q31/P31, "X")</f>
        <v>5.7795509665271538</v>
      </c>
      <c r="U31" s="58">
        <f>'diesel used'!S31</f>
        <v>277.28199999999998</v>
      </c>
      <c r="V31" s="58">
        <f>'diesel used'!T31</f>
        <v>2981.8519999999999</v>
      </c>
      <c r="W31" s="63">
        <f>IFERROR(V31/U31, "X")</f>
        <v>10.753860690560513</v>
      </c>
      <c r="Z31" s="58">
        <f>'diesel used'!X31</f>
        <v>254.54</v>
      </c>
      <c r="AA31" s="58">
        <f>'diesel used'!Y31</f>
        <v>2727.3119999999999</v>
      </c>
      <c r="AB31" s="63">
        <f>IFERROR(AA31/Z31, "X")</f>
        <v>10.714669600062859</v>
      </c>
      <c r="AE31" s="58">
        <f>'diesel used'!AC31</f>
        <v>222.73</v>
      </c>
      <c r="AF31" s="58">
        <f>'diesel used'!AD31</f>
        <v>2504.5279999999998</v>
      </c>
      <c r="AG31" s="63">
        <f>IFERROR(AF31/AE31, "X")</f>
        <v>11.244681901854262</v>
      </c>
      <c r="AJ31" s="58">
        <f>'diesel used'!AH31</f>
        <v>0</v>
      </c>
      <c r="AK31" s="58">
        <f>'diesel used'!AI31</f>
        <v>0</v>
      </c>
      <c r="AL31" s="63" t="str">
        <f>IFERROR(AK31/AJ31, "X")</f>
        <v>X</v>
      </c>
    </row>
    <row r="32" spans="1:38">
      <c r="A32" s="57">
        <f>'diesel used'!A32</f>
        <v>25</v>
      </c>
      <c r="B32" s="57" t="s">
        <v>112</v>
      </c>
      <c r="C32" t="str">
        <f>'diesel used'!B32</f>
        <v>CMTLKK</v>
      </c>
      <c r="D32" t="str">
        <f>'diesel used'!C32</f>
        <v>Regular</v>
      </c>
      <c r="H32" t="str">
        <f>RIGHT('diesel used'!F32, LEN('diesel used'!F32) - FIND("-", 'diesel used'!F32))</f>
        <v>275</v>
      </c>
      <c r="K32" s="58">
        <f>'diesel used'!I32+'diesel used'!I33</f>
        <v>340</v>
      </c>
      <c r="L32" s="58">
        <f>'diesel used'!J32</f>
        <v>4800</v>
      </c>
      <c r="M32" s="63">
        <f>IFERROR(L32/K32, "X")</f>
        <v>14.117647058823529</v>
      </c>
      <c r="P32" s="58">
        <f>'diesel used'!N32+'diesel used'!N33</f>
        <v>320</v>
      </c>
      <c r="Q32" s="58">
        <f>'diesel used'!O32</f>
        <v>4590</v>
      </c>
      <c r="R32" s="63">
        <f>IFERROR(Q32/P32, "X")</f>
        <v>14.34375</v>
      </c>
      <c r="U32" s="58">
        <f>'diesel used'!S32+'diesel used'!S33</f>
        <v>290</v>
      </c>
      <c r="V32" s="58">
        <f>'diesel used'!T32</f>
        <v>4300</v>
      </c>
      <c r="W32" s="63">
        <f>IFERROR(V32/U32, "X")</f>
        <v>14.827586206896552</v>
      </c>
      <c r="Z32" s="58">
        <f>'diesel used'!X32+'diesel used'!X33</f>
        <v>300</v>
      </c>
      <c r="AA32" s="58">
        <f>'diesel used'!Y32</f>
        <v>3900</v>
      </c>
      <c r="AB32" s="63">
        <f>IFERROR(AA32/Z32, "X")</f>
        <v>13</v>
      </c>
      <c r="AE32" s="58">
        <f>'diesel used'!AC32+'diesel used'!AC33</f>
        <v>350</v>
      </c>
      <c r="AF32" s="58">
        <f>'diesel used'!AD32</f>
        <v>3550</v>
      </c>
      <c r="AG32" s="63">
        <f>IFERROR(AF32/AE32, "X")</f>
        <v>10.142857142857142</v>
      </c>
      <c r="AJ32" s="58">
        <f>'diesel used'!AH32+'diesel used'!AH33</f>
        <v>0</v>
      </c>
      <c r="AK32" s="58">
        <f>'diesel used'!AI32</f>
        <v>0</v>
      </c>
      <c r="AL32" s="63" t="str">
        <f>IFERROR(AK32/AJ32, "X")</f>
        <v>X</v>
      </c>
    </row>
    <row r="33" spans="1:38">
      <c r="A33" s="57">
        <f>'diesel used'!A33</f>
        <v>26</v>
      </c>
      <c r="B33" s="57" t="s">
        <v>112</v>
      </c>
      <c r="C33" t="str">
        <f>'diesel used'!B33</f>
        <v>CMTLKK</v>
      </c>
      <c r="D33" t="str">
        <f>'diesel used'!C33</f>
        <v>Regular</v>
      </c>
      <c r="H33" t="str">
        <f>RIGHT('diesel used'!F33, LEN('diesel used'!F33) - FIND("-", 'diesel used'!F33))</f>
        <v>410</v>
      </c>
      <c r="K33" s="58"/>
      <c r="L33" s="58">
        <f>'diesel used'!J33</f>
        <v>0</v>
      </c>
      <c r="P33" s="58"/>
      <c r="Q33" s="58">
        <f>'diesel used'!O33</f>
        <v>0</v>
      </c>
      <c r="R33" s="63"/>
      <c r="U33" s="58"/>
      <c r="V33" s="58">
        <f>'diesel used'!T33</f>
        <v>0</v>
      </c>
      <c r="W33" s="63"/>
      <c r="Z33" s="58"/>
      <c r="AA33" s="58">
        <f>'diesel used'!Y33</f>
        <v>0</v>
      </c>
      <c r="AB33" s="63"/>
      <c r="AE33" s="58"/>
      <c r="AF33" s="58">
        <f>'diesel used'!AD33</f>
        <v>0</v>
      </c>
      <c r="AG33" s="63"/>
      <c r="AJ33" s="58"/>
      <c r="AK33" s="58">
        <f>'diesel used'!AI33</f>
        <v>0</v>
      </c>
      <c r="AL33" s="63"/>
    </row>
    <row r="34" spans="1:38">
      <c r="A34" s="57">
        <f>'diesel used'!A34</f>
        <v>27</v>
      </c>
      <c r="B34" s="57" t="s">
        <v>112</v>
      </c>
      <c r="C34" t="str">
        <f>'diesel used'!B34</f>
        <v>CMTM</v>
      </c>
      <c r="D34" t="str">
        <f>'diesel used'!C34</f>
        <v>Regular</v>
      </c>
      <c r="H34" t="str">
        <f>RIGHT('diesel used'!F34, LEN('diesel used'!F34) - FIND("-", 'diesel used'!F34))</f>
        <v>500</v>
      </c>
      <c r="K34" s="58">
        <f>'diesel used'!I34+'diesel used'!I35</f>
        <v>47</v>
      </c>
      <c r="L34" s="58">
        <f>'diesel used'!J34</f>
        <v>1667</v>
      </c>
      <c r="M34" s="63">
        <f>IFERROR(L34/K34, "X")</f>
        <v>35.468085106382979</v>
      </c>
      <c r="P34" s="58">
        <f>'diesel used'!N34+'diesel used'!N35</f>
        <v>122</v>
      </c>
      <c r="Q34" s="58">
        <f>'diesel used'!O34</f>
        <v>2460</v>
      </c>
      <c r="R34" s="63">
        <f>IFERROR(Q34/P34, "X")</f>
        <v>20.16393442622951</v>
      </c>
      <c r="U34" s="58">
        <f>'diesel used'!S34+'diesel used'!S35</f>
        <v>0</v>
      </c>
      <c r="V34" s="58">
        <f>'diesel used'!T34</f>
        <v>2452</v>
      </c>
      <c r="W34" s="63" t="str">
        <f>IFERROR(V34/U34, "X")</f>
        <v>X</v>
      </c>
      <c r="Z34" s="58">
        <f>'diesel used'!X34+'diesel used'!X35</f>
        <v>164</v>
      </c>
      <c r="AA34" s="58">
        <f>'diesel used'!Y34</f>
        <v>2673</v>
      </c>
      <c r="AB34" s="63">
        <f>IFERROR(AA34/Z34, "X")</f>
        <v>16.298780487804876</v>
      </c>
      <c r="AE34" s="58">
        <f>'diesel used'!AC34+'diesel used'!AC35</f>
        <v>145</v>
      </c>
      <c r="AF34" s="58">
        <f>'diesel used'!AD34</f>
        <v>2528</v>
      </c>
      <c r="AG34" s="63">
        <f>IFERROR(AF34/AE34, "X")</f>
        <v>17.434482758620689</v>
      </c>
      <c r="AJ34" s="58">
        <f>'diesel used'!AH34+'diesel used'!AH35</f>
        <v>0</v>
      </c>
      <c r="AK34" s="58">
        <f>'diesel used'!AI34</f>
        <v>0</v>
      </c>
      <c r="AL34" s="63" t="str">
        <f>IFERROR(AK34/AJ34, "X")</f>
        <v>X</v>
      </c>
    </row>
    <row r="35" spans="1:38">
      <c r="A35" s="57">
        <f>'diesel used'!A35</f>
        <v>28</v>
      </c>
      <c r="B35" s="57" t="s">
        <v>112</v>
      </c>
      <c r="C35" t="str">
        <f>'diesel used'!B35</f>
        <v>CMTM</v>
      </c>
      <c r="D35" t="str">
        <f>'diesel used'!C35</f>
        <v>Regular</v>
      </c>
      <c r="H35" t="str">
        <f>RIGHT('diesel used'!F35, LEN('diesel used'!F35) - FIND("-", 'diesel used'!F35))</f>
        <v>550</v>
      </c>
      <c r="K35" s="58"/>
      <c r="L35" s="58">
        <f>'diesel used'!J35</f>
        <v>0</v>
      </c>
      <c r="P35" s="58"/>
      <c r="Q35" s="58">
        <f>'diesel used'!O35</f>
        <v>0</v>
      </c>
      <c r="R35" s="63"/>
      <c r="U35" s="58"/>
      <c r="V35" s="58">
        <f>'diesel used'!T35</f>
        <v>0</v>
      </c>
      <c r="W35" s="63"/>
      <c r="Z35" s="58"/>
      <c r="AA35" s="58">
        <f>'diesel used'!Y35</f>
        <v>0</v>
      </c>
      <c r="AB35" s="63"/>
      <c r="AE35" s="58"/>
      <c r="AF35" s="58">
        <f>'diesel used'!AD35</f>
        <v>0</v>
      </c>
      <c r="AG35" s="63"/>
      <c r="AJ35" s="58"/>
      <c r="AK35" s="58">
        <f>'diesel used'!AI35</f>
        <v>0</v>
      </c>
      <c r="AL35" s="63"/>
    </row>
    <row r="36" spans="1:38">
      <c r="A36" s="57">
        <f>'diesel used'!A36</f>
        <v>29</v>
      </c>
      <c r="B36" s="57" t="s">
        <v>112</v>
      </c>
      <c r="C36" t="str">
        <f>'diesel used'!B36</f>
        <v>CMWZYD</v>
      </c>
      <c r="D36" t="str">
        <f>'diesel used'!C36</f>
        <v>Regular</v>
      </c>
      <c r="H36" t="str">
        <f>RIGHT('diesel used'!F36, LEN('diesel used'!F36) - FIND("-", 'diesel used'!F36))</f>
        <v>550</v>
      </c>
      <c r="K36" s="58">
        <f>'diesel used'!I36</f>
        <v>272.7</v>
      </c>
      <c r="L36" s="58">
        <f>'diesel used'!J36</f>
        <v>2181.7800000000002</v>
      </c>
      <c r="M36" s="63">
        <f>IFERROR(L36/K36, "X")</f>
        <v>8.000660066006601</v>
      </c>
      <c r="P36" s="58">
        <f>'diesel used'!N36</f>
        <v>295.31</v>
      </c>
      <c r="Q36" s="58">
        <f>'diesel used'!O36</f>
        <v>1886.47</v>
      </c>
      <c r="R36" s="63">
        <f>IFERROR(Q36/P36, "X")</f>
        <v>6.3881006400054181</v>
      </c>
      <c r="U36" s="58">
        <f>'diesel used'!S36</f>
        <v>227.22800000000001</v>
      </c>
      <c r="V36" s="58">
        <f>'diesel used'!T36</f>
        <v>2572.8679999999999</v>
      </c>
      <c r="W36" s="63">
        <f>IFERROR(V36/U36, "X")</f>
        <v>11.322847536395162</v>
      </c>
      <c r="Z36" s="58">
        <f>'diesel used'!X36</f>
        <v>472.78399999999999</v>
      </c>
      <c r="AA36" s="58">
        <f>'diesel used'!Y36</f>
        <v>2100.0839999999998</v>
      </c>
      <c r="AB36" s="63">
        <f>IFERROR(AA36/Z36, "X")</f>
        <v>4.4419523503333442</v>
      </c>
      <c r="AE36" s="58">
        <f>'diesel used'!AC36</f>
        <v>0</v>
      </c>
      <c r="AF36" s="58">
        <f>'diesel used'!AD36</f>
        <v>3100</v>
      </c>
      <c r="AG36" s="63" t="str">
        <f>IFERROR(AF36/AE36, "X")</f>
        <v>X</v>
      </c>
      <c r="AJ36" s="58">
        <f>'diesel used'!AH36</f>
        <v>0</v>
      </c>
      <c r="AK36" s="58">
        <f>'diesel used'!AI36</f>
        <v>0</v>
      </c>
      <c r="AL36" s="63" t="str">
        <f>IFERROR(AK36/AJ36, "X")</f>
        <v>X</v>
      </c>
    </row>
    <row r="37" spans="1:38">
      <c r="A37" s="57">
        <f>'diesel used'!A37</f>
        <v>30</v>
      </c>
      <c r="B37" s="57" t="s">
        <v>112</v>
      </c>
      <c r="C37" t="str">
        <f>'diesel used'!B37</f>
        <v>CMYK</v>
      </c>
      <c r="D37" t="str">
        <f>'diesel used'!C37</f>
        <v>Regular</v>
      </c>
      <c r="H37" t="str">
        <f>RIGHT('diesel used'!F37, LEN('diesel used'!F37) - FIND("-", 'diesel used'!F37))</f>
        <v>440</v>
      </c>
      <c r="K37" s="58">
        <f>'diesel used'!I37</f>
        <v>141</v>
      </c>
      <c r="L37" s="58">
        <f>'diesel used'!J37</f>
        <v>1619</v>
      </c>
      <c r="M37" s="63">
        <f>IFERROR(L37/K37, "X")</f>
        <v>11.4822695035461</v>
      </c>
      <c r="P37" s="58">
        <f>'diesel used'!N37</f>
        <v>86</v>
      </c>
      <c r="Q37" s="58">
        <f>'diesel used'!O37</f>
        <v>1533</v>
      </c>
      <c r="R37" s="63">
        <f>IFERROR(Q37/P37, "X")</f>
        <v>17.825581395348838</v>
      </c>
      <c r="U37" s="58">
        <f>'diesel used'!S37</f>
        <v>32</v>
      </c>
      <c r="V37" s="58">
        <f>'diesel used'!T37</f>
        <v>1501</v>
      </c>
      <c r="W37" s="63">
        <f>IFERROR(V37/U37, "X")</f>
        <v>46.90625</v>
      </c>
      <c r="Z37" s="58">
        <f>'diesel used'!X37</f>
        <v>246</v>
      </c>
      <c r="AA37" s="58">
        <f>'diesel used'!Y37</f>
        <v>1255</v>
      </c>
      <c r="AB37" s="63">
        <f>IFERROR(AA37/Z37, "X")</f>
        <v>5.1016260162601625</v>
      </c>
      <c r="AE37" s="58">
        <f>'diesel used'!AC37</f>
        <v>95</v>
      </c>
      <c r="AF37" s="58">
        <f>'diesel used'!AD37</f>
        <v>1160</v>
      </c>
      <c r="AG37" s="63">
        <f>IFERROR(AF37/AE37, "X")</f>
        <v>12.210526315789474</v>
      </c>
      <c r="AJ37" s="58">
        <f>'diesel used'!AH37</f>
        <v>0</v>
      </c>
      <c r="AK37" s="58">
        <f>'diesel used'!AI37</f>
        <v>0</v>
      </c>
      <c r="AL37" s="63" t="str">
        <f>IFERROR(AK37/AJ37, "X")</f>
        <v>X</v>
      </c>
    </row>
    <row r="38" spans="1:38">
      <c r="A38" s="57">
        <f>'diesel used'!A38</f>
        <v>31</v>
      </c>
      <c r="B38" s="57" t="s">
        <v>112</v>
      </c>
      <c r="C38" t="str">
        <f>'diesel used'!B38</f>
        <v>MPGV</v>
      </c>
      <c r="D38" t="str">
        <f>'diesel used'!C38</f>
        <v>Regular</v>
      </c>
      <c r="H38" t="str">
        <f>RIGHT('diesel used'!F38, LEN('diesel used'!F38) - FIND("-", 'diesel used'!F38))</f>
        <v>440</v>
      </c>
      <c r="K38" s="58">
        <f>'diesel used'!I38+'diesel used'!I39</f>
        <v>90.77600000000001</v>
      </c>
      <c r="L38" s="58">
        <f>'diesel used'!J38</f>
        <v>4777.6540000000005</v>
      </c>
      <c r="M38" s="63">
        <f>IFERROR(L38/K38, "X")</f>
        <v>52.631246144355337</v>
      </c>
      <c r="P38" s="58">
        <f>'diesel used'!N38+'diesel used'!N39</f>
        <v>68.19</v>
      </c>
      <c r="Q38" s="58">
        <f>'diesel used'!O38</f>
        <v>5209.4639999999999</v>
      </c>
      <c r="R38" s="63">
        <f>IFERROR(Q38/P38, "X")</f>
        <v>76.396304443466789</v>
      </c>
      <c r="U38" s="58">
        <f>'diesel used'!S38+'diesel used'!S39</f>
        <v>0</v>
      </c>
      <c r="V38" s="58">
        <f>'diesel used'!T38</f>
        <v>5209</v>
      </c>
      <c r="W38" s="63" t="str">
        <f>IFERROR(V38/U38, "X")</f>
        <v>X</v>
      </c>
      <c r="Z38" s="58">
        <f>'diesel used'!X38+'diesel used'!X39</f>
        <v>0</v>
      </c>
      <c r="AA38" s="58">
        <f>'diesel used'!Y38</f>
        <v>5209</v>
      </c>
      <c r="AB38" s="63" t="str">
        <f>IFERROR(AA38/Z38, "X")</f>
        <v>X</v>
      </c>
      <c r="AE38" s="58">
        <f>'diesel used'!AC38+'diesel used'!AC39</f>
        <v>0</v>
      </c>
      <c r="AF38" s="58">
        <f>'diesel used'!AD38</f>
        <v>5209</v>
      </c>
      <c r="AG38" s="63" t="str">
        <f>IFERROR(AF38/AE38, "X")</f>
        <v>X</v>
      </c>
      <c r="AJ38" s="58">
        <f>'diesel used'!AH38+'diesel used'!AH39</f>
        <v>0</v>
      </c>
      <c r="AK38" s="58">
        <f>'diesel used'!AI38</f>
        <v>0</v>
      </c>
      <c r="AL38" s="63" t="str">
        <f>IFERROR(AK38/AJ38, "X")</f>
        <v>X</v>
      </c>
    </row>
    <row r="39" spans="1:38">
      <c r="A39" s="57">
        <f>'diesel used'!A39</f>
        <v>32</v>
      </c>
      <c r="B39" s="57" t="s">
        <v>112</v>
      </c>
      <c r="C39" t="str">
        <f>'diesel used'!B39</f>
        <v>MPGV</v>
      </c>
      <c r="D39" t="str">
        <f>'diesel used'!C39</f>
        <v>Regular</v>
      </c>
      <c r="H39" t="str">
        <f>RIGHT('diesel used'!F39, LEN('diesel used'!F39) - FIND("-", 'diesel used'!F39))</f>
        <v>727</v>
      </c>
      <c r="K39" s="58">
        <f>'diesel used'!I39</f>
        <v>68.046000000000006</v>
      </c>
      <c r="L39" s="58">
        <f>'diesel used'!J39</f>
        <v>0</v>
      </c>
      <c r="P39" s="58">
        <f>'diesel used'!N39</f>
        <v>0</v>
      </c>
      <c r="Q39" s="58">
        <f>'diesel used'!O39</f>
        <v>0</v>
      </c>
      <c r="R39" s="63"/>
      <c r="U39" s="58">
        <f>'diesel used'!S39</f>
        <v>0</v>
      </c>
      <c r="V39" s="58">
        <f>'diesel used'!T39</f>
        <v>0</v>
      </c>
      <c r="W39" s="63"/>
      <c r="Z39" s="58">
        <f>'diesel used'!X39</f>
        <v>0</v>
      </c>
      <c r="AA39" s="58">
        <f>'diesel used'!Y39</f>
        <v>0</v>
      </c>
      <c r="AB39" s="63"/>
      <c r="AE39" s="58">
        <f>'diesel used'!AC39</f>
        <v>0</v>
      </c>
      <c r="AF39" s="58">
        <f>'diesel used'!AD39</f>
        <v>0</v>
      </c>
      <c r="AG39" s="63"/>
      <c r="AJ39" s="58">
        <f>'diesel used'!AH39</f>
        <v>0</v>
      </c>
      <c r="AK39" s="58">
        <f>'diesel used'!AI39</f>
        <v>0</v>
      </c>
      <c r="AL39" s="63"/>
    </row>
    <row r="40" spans="1:38">
      <c r="A40" s="57">
        <f>'diesel used'!A40</f>
        <v>33</v>
      </c>
      <c r="B40" s="57" t="s">
        <v>112</v>
      </c>
      <c r="C40" t="str">
        <f>'diesel used'!B40</f>
        <v>CMCNTP</v>
      </c>
      <c r="D40" t="str">
        <f>'diesel used'!C40</f>
        <v>LNG</v>
      </c>
      <c r="H40" t="str">
        <f>RIGHT('diesel used'!F40, LEN('diesel used'!F40) - FIND("-", 'diesel used'!F40))</f>
        <v>550</v>
      </c>
      <c r="K40" s="58">
        <f>'diesel used'!I40</f>
        <v>0</v>
      </c>
      <c r="L40" s="58">
        <f>'diesel used'!J40</f>
        <v>1955</v>
      </c>
      <c r="M40" s="63" t="str">
        <f>IFERROR(L40/K40, "X")</f>
        <v>X</v>
      </c>
      <c r="P40" s="58">
        <f>'diesel used'!N40</f>
        <v>55</v>
      </c>
      <c r="Q40" s="58">
        <f>'diesel used'!O40</f>
        <v>1900</v>
      </c>
      <c r="R40" s="63">
        <f>IFERROR(Q40/P40, "X")</f>
        <v>34.545454545454547</v>
      </c>
      <c r="U40" s="58">
        <f>'diesel used'!S40</f>
        <v>118</v>
      </c>
      <c r="V40" s="58">
        <f>'diesel used'!T40</f>
        <v>1782</v>
      </c>
      <c r="W40" s="63">
        <f>IFERROR(V40/U40, "X")</f>
        <v>15.101694915254237</v>
      </c>
      <c r="Z40" s="58">
        <f>'diesel used'!X40</f>
        <v>0</v>
      </c>
      <c r="AA40" s="58">
        <f>'diesel used'!Y40</f>
        <v>1782</v>
      </c>
      <c r="AB40" s="63" t="str">
        <f>IFERROR(AA40/Z40, "X")</f>
        <v>X</v>
      </c>
      <c r="AE40" s="58">
        <f>'diesel used'!AC40</f>
        <v>0</v>
      </c>
      <c r="AF40" s="58">
        <f>'diesel used'!AD40</f>
        <v>1782</v>
      </c>
      <c r="AG40" s="63" t="str">
        <f>IFERROR(AF40/AE40, "X")</f>
        <v>X</v>
      </c>
      <c r="AJ40" s="58">
        <f>'diesel used'!AH40</f>
        <v>0</v>
      </c>
      <c r="AK40" s="58">
        <f>'diesel used'!AI40</f>
        <v>0</v>
      </c>
      <c r="AL40" s="63" t="str">
        <f>IFERROR(AK40/AJ40, "X")</f>
        <v>X</v>
      </c>
    </row>
    <row r="41" spans="1:38">
      <c r="A41" s="57">
        <f>'diesel used'!A41</f>
        <v>34</v>
      </c>
      <c r="B41" s="57" t="s">
        <v>112</v>
      </c>
      <c r="C41" t="str">
        <f>'diesel used'!B41</f>
        <v>CMLHTY</v>
      </c>
      <c r="D41" t="str">
        <f>'diesel used'!C41</f>
        <v>LNG</v>
      </c>
      <c r="H41" t="str">
        <f>RIGHT('diesel used'!F41, LEN('diesel used'!F41) - FIND("-", 'diesel used'!F41))</f>
        <v>550</v>
      </c>
      <c r="K41" s="58">
        <f>'diesel used'!I41+'diesel used'!I42+'diesel used'!I43</f>
        <v>65</v>
      </c>
      <c r="L41" s="58">
        <f>'diesel used'!J41</f>
        <v>7577</v>
      </c>
      <c r="M41" s="63">
        <f>IFERROR(L41/K41, "X")</f>
        <v>116.56923076923077</v>
      </c>
      <c r="P41" s="58">
        <f>'diesel used'!N41+'diesel used'!N42+'diesel used'!N43</f>
        <v>16</v>
      </c>
      <c r="Q41" s="58">
        <f>'diesel used'!O41</f>
        <v>7561</v>
      </c>
      <c r="R41" s="63">
        <f>IFERROR(Q41/P41, "X")</f>
        <v>472.5625</v>
      </c>
      <c r="U41" s="58">
        <f>'diesel used'!S41+'diesel used'!S42+'diesel used'!S43</f>
        <v>23</v>
      </c>
      <c r="V41" s="58">
        <f>'diesel used'!T41</f>
        <v>7538</v>
      </c>
      <c r="W41" s="63">
        <f>IFERROR(V41/U41, "X")</f>
        <v>327.73913043478262</v>
      </c>
      <c r="Z41" s="58">
        <f>'diesel used'!X41+'diesel used'!X42+'diesel used'!X43</f>
        <v>0</v>
      </c>
      <c r="AA41" s="58">
        <f>'diesel used'!Y41</f>
        <v>7538</v>
      </c>
      <c r="AB41" s="63" t="str">
        <f>IFERROR(AA41/Z41, "X")</f>
        <v>X</v>
      </c>
      <c r="AE41" s="58">
        <f>'diesel used'!AC41+'diesel used'!AC42+'diesel used'!AC43</f>
        <v>70</v>
      </c>
      <c r="AF41" s="58">
        <f>'diesel used'!AD41</f>
        <v>7468</v>
      </c>
      <c r="AG41" s="63">
        <f>IFERROR(AF41/AE41, "X")</f>
        <v>106.68571428571428</v>
      </c>
      <c r="AJ41" s="58">
        <f>'diesel used'!AH41+'diesel used'!AH42+'diesel used'!AH43</f>
        <v>0</v>
      </c>
      <c r="AK41" s="58">
        <f>'diesel used'!AI41</f>
        <v>0</v>
      </c>
      <c r="AL41" s="63" t="str">
        <f>IFERROR(AK41/AJ41, "X")</f>
        <v>X</v>
      </c>
    </row>
    <row r="42" spans="1:38">
      <c r="A42" s="57">
        <f>'diesel used'!A42</f>
        <v>35</v>
      </c>
      <c r="B42" s="57" t="s">
        <v>112</v>
      </c>
      <c r="C42" t="str">
        <f>'diesel used'!B42</f>
        <v>CMLHTY</v>
      </c>
      <c r="D42" t="str">
        <f>'diesel used'!C42</f>
        <v>LNG</v>
      </c>
      <c r="H42" t="str">
        <f>RIGHT('diesel used'!F42, LEN('diesel used'!F42) - FIND("-", 'diesel used'!F42))</f>
        <v>727</v>
      </c>
      <c r="K42" s="58"/>
      <c r="L42" s="58"/>
      <c r="P42" s="58"/>
      <c r="Q42" s="58"/>
      <c r="R42" s="63"/>
      <c r="U42" s="58"/>
      <c r="V42" s="58"/>
      <c r="W42" s="63"/>
      <c r="Z42" s="58"/>
      <c r="AA42" s="58"/>
      <c r="AB42" s="63"/>
      <c r="AE42" s="58"/>
      <c r="AF42" s="58"/>
      <c r="AG42" s="63"/>
      <c r="AJ42" s="58"/>
      <c r="AK42" s="58"/>
      <c r="AL42" s="63"/>
    </row>
    <row r="43" spans="1:38">
      <c r="A43" s="57">
        <f>'diesel used'!A43</f>
        <v>36</v>
      </c>
      <c r="B43" s="57" t="s">
        <v>112</v>
      </c>
      <c r="C43" t="str">
        <f>'diesel used'!B43</f>
        <v>CMLHTY</v>
      </c>
      <c r="D43" t="str">
        <f>'diesel used'!C43</f>
        <v>LNG</v>
      </c>
      <c r="H43" t="str">
        <f>RIGHT('diesel used'!F43, LEN('diesel used'!F43) - FIND("-", 'diesel used'!F43))</f>
        <v>200</v>
      </c>
      <c r="K43" s="58"/>
      <c r="L43" s="58"/>
      <c r="P43" s="58"/>
      <c r="Q43" s="58"/>
      <c r="R43" s="63"/>
      <c r="U43" s="58"/>
      <c r="V43" s="58"/>
      <c r="W43" s="63"/>
      <c r="Z43" s="58"/>
      <c r="AA43" s="58"/>
      <c r="AB43" s="63"/>
      <c r="AE43" s="58"/>
      <c r="AF43" s="58"/>
      <c r="AG43" s="63"/>
      <c r="AJ43" s="58"/>
      <c r="AK43" s="58"/>
      <c r="AL43" s="63"/>
    </row>
    <row r="44" spans="1:38">
      <c r="A44" s="57">
        <f>'diesel used'!A44</f>
        <v>37</v>
      </c>
      <c r="B44" s="57" t="s">
        <v>112</v>
      </c>
      <c r="C44" t="str">
        <f>'diesel used'!B44</f>
        <v>CMLMLM</v>
      </c>
      <c r="D44" t="str">
        <f>'diesel used'!C44</f>
        <v>LNG</v>
      </c>
      <c r="H44" t="str">
        <f>RIGHT('diesel used'!F44, LEN('diesel used'!F44) - FIND("-", 'diesel used'!F44))</f>
        <v>727</v>
      </c>
      <c r="K44" s="58">
        <f>'diesel used'!I44+'diesel used'!I45+'diesel used'!I46</f>
        <v>0</v>
      </c>
      <c r="L44" s="58">
        <f>'diesel used'!J44</f>
        <v>3430</v>
      </c>
      <c r="M44" s="63" t="str">
        <f>IFERROR(L44/K44, "X")</f>
        <v>X</v>
      </c>
      <c r="P44" s="58">
        <f>'diesel used'!N44+'diesel used'!N45+'diesel used'!N46</f>
        <v>0</v>
      </c>
      <c r="Q44" s="58">
        <f>'diesel used'!O44</f>
        <v>3430</v>
      </c>
      <c r="R44" s="63" t="str">
        <f>IFERROR(Q44/P44, "X")</f>
        <v>X</v>
      </c>
      <c r="U44" s="58">
        <f>'diesel used'!S44+'diesel used'!S45+'diesel used'!S46</f>
        <v>0</v>
      </c>
      <c r="V44" s="58">
        <f>'diesel used'!T44</f>
        <v>3430</v>
      </c>
      <c r="W44" s="63" t="str">
        <f>IFERROR(V44/U44, "X")</f>
        <v>X</v>
      </c>
      <c r="Z44" s="58">
        <f>'diesel used'!X44+'diesel used'!X45+'diesel used'!X46</f>
        <v>5</v>
      </c>
      <c r="AA44" s="58">
        <f>'diesel used'!Y44</f>
        <v>3425</v>
      </c>
      <c r="AB44" s="63">
        <f>IFERROR(AA44/Z44, "X")</f>
        <v>685</v>
      </c>
      <c r="AE44" s="58">
        <f>'diesel used'!AC44+'diesel used'!AC45+'diesel used'!AC46</f>
        <v>225</v>
      </c>
      <c r="AF44" s="58">
        <f>'diesel used'!AD44</f>
        <v>3200</v>
      </c>
      <c r="AG44" s="63">
        <f>IFERROR(AF44/AE44, "X")</f>
        <v>14.222222222222221</v>
      </c>
      <c r="AJ44" s="58">
        <f>'diesel used'!AH44+'diesel used'!AH45+'diesel used'!AH46</f>
        <v>0</v>
      </c>
      <c r="AK44" s="58">
        <f>'diesel used'!AI44</f>
        <v>0</v>
      </c>
      <c r="AL44" s="63" t="str">
        <f>IFERROR(AK44/AJ44, "X")</f>
        <v>X</v>
      </c>
    </row>
    <row r="45" spans="1:38">
      <c r="A45" s="57">
        <f>'diesel used'!A45</f>
        <v>38</v>
      </c>
      <c r="B45" s="57" t="s">
        <v>112</v>
      </c>
      <c r="C45" t="str">
        <f>'diesel used'!B45</f>
        <v>CMLMLM</v>
      </c>
      <c r="D45" t="str">
        <f>'diesel used'!C45</f>
        <v>LNG</v>
      </c>
      <c r="H45" t="str">
        <f>RIGHT('diesel used'!F45, LEN('diesel used'!F45) - FIND("-", 'diesel used'!F45))</f>
        <v>727</v>
      </c>
      <c r="K45" s="58"/>
      <c r="L45" s="58"/>
      <c r="P45" s="58"/>
      <c r="Q45" s="58"/>
      <c r="R45" s="63"/>
      <c r="U45" s="58"/>
      <c r="V45" s="58"/>
      <c r="W45" s="63"/>
      <c r="Z45" s="58"/>
      <c r="AA45" s="58"/>
      <c r="AB45" s="63"/>
      <c r="AE45" s="58"/>
      <c r="AF45" s="58"/>
      <c r="AG45" s="63"/>
      <c r="AJ45" s="58"/>
      <c r="AK45" s="58"/>
      <c r="AL45" s="63"/>
    </row>
    <row r="46" spans="1:38">
      <c r="A46" s="57">
        <f>'diesel used'!A46</f>
        <v>39</v>
      </c>
      <c r="B46" s="57" t="s">
        <v>112</v>
      </c>
      <c r="C46" t="str">
        <f>'diesel used'!B46</f>
        <v>CMLMLM</v>
      </c>
      <c r="D46" t="str">
        <f>'diesel used'!C46</f>
        <v>LNG</v>
      </c>
      <c r="H46" t="str">
        <f>RIGHT('diesel used'!F46, LEN('diesel used'!F46) - FIND("-", 'diesel used'!F46))</f>
        <v>250</v>
      </c>
      <c r="K46" s="58"/>
      <c r="L46" s="58"/>
      <c r="P46" s="58"/>
      <c r="Q46" s="58"/>
      <c r="R46" s="63"/>
      <c r="U46" s="58"/>
      <c r="V46" s="58"/>
      <c r="W46" s="63"/>
      <c r="Z46" s="58"/>
      <c r="AA46" s="58"/>
      <c r="AB46" s="63"/>
      <c r="AE46" s="58"/>
      <c r="AF46" s="58"/>
      <c r="AG46" s="63"/>
      <c r="AJ46" s="58"/>
      <c r="AK46" s="58"/>
      <c r="AL46" s="63"/>
    </row>
    <row r="47" spans="1:38">
      <c r="A47" s="57">
        <f>'diesel used'!A47</f>
        <v>40</v>
      </c>
      <c r="B47" s="57" t="s">
        <v>112</v>
      </c>
      <c r="C47" t="str">
        <f>'diesel used'!B47</f>
        <v>CMLOTR</v>
      </c>
      <c r="D47" t="str">
        <f>'diesel used'!C47</f>
        <v>LNG</v>
      </c>
      <c r="H47" t="str">
        <f>RIGHT('diesel used'!F47, LEN('diesel used'!F47) - FIND("-", 'diesel used'!F47))</f>
        <v>727</v>
      </c>
      <c r="K47" s="58">
        <f>'diesel used'!I47+'diesel used'!I48</f>
        <v>0</v>
      </c>
      <c r="L47" s="58">
        <f>'diesel used'!J47</f>
        <v>2155</v>
      </c>
      <c r="M47" s="63" t="str">
        <f>IFERROR(L47/K47, "X")</f>
        <v>X</v>
      </c>
      <c r="P47" s="58">
        <f>'diesel used'!N47+'diesel used'!N48</f>
        <v>0</v>
      </c>
      <c r="Q47" s="58">
        <f>'diesel used'!O47</f>
        <v>2155</v>
      </c>
      <c r="R47" s="63" t="str">
        <f>IFERROR(Q47/P47, "X")</f>
        <v>X</v>
      </c>
      <c r="U47" s="58">
        <f>'diesel used'!S47+'diesel used'!S48</f>
        <v>0</v>
      </c>
      <c r="V47" s="58">
        <f>'diesel used'!T47</f>
        <v>2155</v>
      </c>
      <c r="W47" s="63" t="str">
        <f>IFERROR(V47/U47, "X")</f>
        <v>X</v>
      </c>
      <c r="Z47" s="58">
        <f>'diesel used'!X47+'diesel used'!X48</f>
        <v>1</v>
      </c>
      <c r="AA47" s="58">
        <f>'diesel used'!Y47</f>
        <v>2155</v>
      </c>
      <c r="AB47" s="63">
        <f>IFERROR(AA47/Z47, "X")</f>
        <v>2155</v>
      </c>
      <c r="AE47" s="58">
        <f>'diesel used'!AC47+'diesel used'!AC48</f>
        <v>24</v>
      </c>
      <c r="AF47" s="58">
        <f>'diesel used'!AD47</f>
        <v>2130</v>
      </c>
      <c r="AG47" s="63">
        <f>IFERROR(AF47/AE47, "X")</f>
        <v>88.75</v>
      </c>
      <c r="AJ47" s="58">
        <f>'diesel used'!AH47+'diesel used'!AH48</f>
        <v>0</v>
      </c>
      <c r="AK47" s="58">
        <f>'diesel used'!AI47</f>
        <v>0</v>
      </c>
      <c r="AL47" s="63" t="str">
        <f>IFERROR(AK47/AJ47, "X")</f>
        <v>X</v>
      </c>
    </row>
    <row r="48" spans="1:38">
      <c r="A48" s="57">
        <f>'diesel used'!A48</f>
        <v>41</v>
      </c>
      <c r="B48" s="57" t="s">
        <v>112</v>
      </c>
      <c r="C48" t="str">
        <f>'diesel used'!B48</f>
        <v>CMLOTR</v>
      </c>
      <c r="D48" t="str">
        <f>'diesel used'!C48</f>
        <v>LNG</v>
      </c>
      <c r="H48" t="str">
        <f>RIGHT('diesel used'!F48, LEN('diesel used'!F48) - FIND("-", 'diesel used'!F48))</f>
        <v>727</v>
      </c>
      <c r="K48" s="58"/>
      <c r="L48" s="58">
        <f>'diesel used'!J48</f>
        <v>0</v>
      </c>
      <c r="P48" s="58"/>
      <c r="Q48" s="58">
        <f>'diesel used'!O48</f>
        <v>0</v>
      </c>
      <c r="R48" s="63"/>
      <c r="U48" s="58"/>
      <c r="V48" s="58">
        <f>'diesel used'!T48</f>
        <v>0</v>
      </c>
      <c r="W48" s="63"/>
      <c r="Z48" s="58"/>
      <c r="AA48" s="58">
        <f>'diesel used'!Y48</f>
        <v>0</v>
      </c>
      <c r="AB48" s="63"/>
      <c r="AE48" s="58"/>
      <c r="AF48" s="58">
        <f>'diesel used'!AD48</f>
        <v>0</v>
      </c>
      <c r="AG48" s="63"/>
      <c r="AJ48" s="58"/>
      <c r="AK48" s="58">
        <f>'diesel used'!AI48</f>
        <v>0</v>
      </c>
      <c r="AL48" s="63"/>
    </row>
    <row r="49" spans="1:38">
      <c r="A49" s="57">
        <f>'diesel used'!A49</f>
        <v>42</v>
      </c>
      <c r="B49" s="57" t="s">
        <v>112</v>
      </c>
      <c r="C49" t="str">
        <f>'diesel used'!B49</f>
        <v>CMLPT</v>
      </c>
      <c r="D49" t="str">
        <f>'diesel used'!C49</f>
        <v>LNG</v>
      </c>
      <c r="H49" t="str">
        <f>RIGHT('diesel used'!F49, LEN('diesel used'!F49) - FIND("-", 'diesel used'!F49))</f>
        <v>440</v>
      </c>
      <c r="K49" s="58">
        <f>'diesel used'!I49+'diesel used'!I50+'diesel used'!I51</f>
        <v>0</v>
      </c>
      <c r="L49" s="58">
        <f>'diesel used'!J49</f>
        <v>4237</v>
      </c>
      <c r="M49" s="63" t="str">
        <f>IFERROR(L49/K49, "X")</f>
        <v>X</v>
      </c>
      <c r="P49" s="58">
        <f>'diesel used'!N49+'diesel used'!N50+'diesel used'!N51</f>
        <v>0</v>
      </c>
      <c r="Q49" s="58">
        <f>'diesel used'!O49</f>
        <v>4237</v>
      </c>
      <c r="R49" s="63" t="str">
        <f>IFERROR(Q49/P49, "X")</f>
        <v>X</v>
      </c>
      <c r="U49" s="58">
        <f>'diesel used'!S49+'diesel used'!S50+'diesel used'!S51</f>
        <v>0</v>
      </c>
      <c r="V49" s="58">
        <f>'diesel used'!T49</f>
        <v>4237</v>
      </c>
      <c r="W49" s="63" t="str">
        <f>IFERROR(V49/U49, "X")</f>
        <v>X</v>
      </c>
      <c r="Z49" s="58">
        <f>'diesel used'!X49+'diesel used'!X50+'diesel used'!X51</f>
        <v>0</v>
      </c>
      <c r="AA49" s="58">
        <f>'diesel used'!Y49</f>
        <v>4237</v>
      </c>
      <c r="AB49" s="63" t="str">
        <f>IFERROR(AA49/Z49, "X")</f>
        <v>X</v>
      </c>
      <c r="AE49" s="58">
        <f>'diesel used'!AC49+'diesel used'!AC50+'diesel used'!AC51</f>
        <v>0</v>
      </c>
      <c r="AF49" s="58">
        <f>'diesel used'!AD49</f>
        <v>4237</v>
      </c>
      <c r="AG49" s="63" t="str">
        <f>IFERROR(AF49/AE49, "X")</f>
        <v>X</v>
      </c>
      <c r="AJ49" s="58">
        <f>'diesel used'!AH49+'diesel used'!AH50+'diesel used'!AH51</f>
        <v>0</v>
      </c>
      <c r="AK49" s="58">
        <f>'diesel used'!AI49</f>
        <v>0</v>
      </c>
      <c r="AL49" s="63" t="str">
        <f>IFERROR(AK49/AJ49, "X")</f>
        <v>X</v>
      </c>
    </row>
    <row r="50" spans="1:38">
      <c r="A50" s="57">
        <f>'diesel used'!A50</f>
        <v>43</v>
      </c>
      <c r="B50" s="57" t="s">
        <v>112</v>
      </c>
      <c r="C50" t="str">
        <f>'diesel used'!B50</f>
        <v>CMLPT</v>
      </c>
      <c r="D50" t="str">
        <f>'diesel used'!C50</f>
        <v>LNG</v>
      </c>
      <c r="H50" t="str">
        <f>RIGHT('diesel used'!F50, LEN('diesel used'!F50) - FIND("-", 'diesel used'!F50))</f>
        <v>440</v>
      </c>
      <c r="K50" s="58"/>
      <c r="L50" s="58">
        <f>'diesel used'!J50</f>
        <v>0</v>
      </c>
      <c r="P50" s="58"/>
      <c r="Q50" s="58">
        <f>'diesel used'!O50</f>
        <v>0</v>
      </c>
      <c r="R50" s="63"/>
      <c r="U50" s="58"/>
      <c r="V50" s="58">
        <f>'diesel used'!T50</f>
        <v>0</v>
      </c>
      <c r="W50" s="63"/>
      <c r="Z50" s="58"/>
      <c r="AA50" s="58">
        <f>'diesel used'!Y50</f>
        <v>0</v>
      </c>
      <c r="AB50" s="63"/>
      <c r="AE50" s="58"/>
      <c r="AF50" s="58">
        <f>'diesel used'!AD50</f>
        <v>0</v>
      </c>
      <c r="AG50" s="63"/>
      <c r="AJ50" s="58"/>
      <c r="AK50" s="58">
        <f>'diesel used'!AI50</f>
        <v>0</v>
      </c>
      <c r="AL50" s="63"/>
    </row>
    <row r="51" spans="1:38">
      <c r="A51" s="57">
        <f>'diesel used'!A51</f>
        <v>44</v>
      </c>
      <c r="B51" s="57" t="s">
        <v>112</v>
      </c>
      <c r="C51" t="str">
        <f>'diesel used'!B51</f>
        <v>CMLPT</v>
      </c>
      <c r="D51" t="str">
        <f>'diesel used'!C51</f>
        <v>LNG</v>
      </c>
      <c r="H51" t="str">
        <f>RIGHT('diesel used'!F51, LEN('diesel used'!F51) - FIND("-", 'diesel used'!F51))</f>
        <v>500</v>
      </c>
      <c r="K51" s="58"/>
      <c r="L51" s="58">
        <f>'diesel used'!J51</f>
        <v>0</v>
      </c>
      <c r="P51" s="58"/>
      <c r="Q51" s="58">
        <f>'diesel used'!O51</f>
        <v>0</v>
      </c>
      <c r="R51" s="63"/>
      <c r="U51" s="58"/>
      <c r="V51" s="58">
        <f>'diesel used'!T51</f>
        <v>0</v>
      </c>
      <c r="W51" s="63"/>
      <c r="Z51" s="58"/>
      <c r="AA51" s="58">
        <f>'diesel used'!Y51</f>
        <v>0</v>
      </c>
      <c r="AB51" s="63"/>
      <c r="AE51" s="58"/>
      <c r="AF51" s="58">
        <f>'diesel used'!AD51</f>
        <v>0</v>
      </c>
      <c r="AG51" s="63"/>
      <c r="AJ51" s="58"/>
      <c r="AK51" s="58">
        <f>'diesel used'!AI51</f>
        <v>0</v>
      </c>
      <c r="AL51" s="63"/>
    </row>
    <row r="52" spans="1:38">
      <c r="A52" s="57">
        <f>'diesel used'!A52</f>
        <v>45</v>
      </c>
      <c r="B52" s="57" t="s">
        <v>112</v>
      </c>
      <c r="C52" t="str">
        <f>'diesel used'!B52</f>
        <v>CMLTMW</v>
      </c>
      <c r="D52" t="str">
        <f>'diesel used'!C52</f>
        <v>LNG</v>
      </c>
      <c r="H52" t="str">
        <f>RIGHT('diesel used'!F52, LEN('diesel used'!F52) - FIND("-", 'diesel used'!F52))</f>
        <v>550</v>
      </c>
      <c r="K52" s="58">
        <f>'diesel used'!I52+'diesel used'!I53+'diesel used'!I54</f>
        <v>0</v>
      </c>
      <c r="L52" s="58">
        <f>'diesel used'!J52</f>
        <v>5157</v>
      </c>
      <c r="M52" s="63" t="str">
        <f>IFERROR(L52/K52, "X")</f>
        <v>X</v>
      </c>
      <c r="P52" s="58">
        <f>'diesel used'!N52+'diesel used'!N53+'diesel used'!N54</f>
        <v>0</v>
      </c>
      <c r="Q52" s="58">
        <f>'diesel used'!O52</f>
        <v>5157</v>
      </c>
      <c r="R52" s="63" t="str">
        <f>IFERROR(Q52/P52, "X")</f>
        <v>X</v>
      </c>
      <c r="U52" s="58">
        <f>'diesel used'!S52+'diesel used'!S53+'diesel used'!S54</f>
        <v>0</v>
      </c>
      <c r="V52" s="58">
        <f>'diesel used'!T52</f>
        <v>5157</v>
      </c>
      <c r="W52" s="63" t="str">
        <f>IFERROR(V52/U52, "X")</f>
        <v>X</v>
      </c>
      <c r="Z52" s="58">
        <f>'diesel used'!X52+'diesel used'!X53+'diesel used'!X54</f>
        <v>0</v>
      </c>
      <c r="AA52" s="58">
        <f>'diesel used'!Y52</f>
        <v>5157</v>
      </c>
      <c r="AB52" s="63" t="str">
        <f>IFERROR(AA52/Z52, "X")</f>
        <v>X</v>
      </c>
      <c r="AE52" s="58">
        <f>'diesel used'!AC52+'diesel used'!AC53+'diesel used'!AC54</f>
        <v>0</v>
      </c>
      <c r="AF52" s="58">
        <f>'diesel used'!AD52</f>
        <v>5157</v>
      </c>
      <c r="AG52" s="63" t="str">
        <f>IFERROR(AF52/AE52, "X")</f>
        <v>X</v>
      </c>
      <c r="AJ52" s="58">
        <f>'diesel used'!AH52+'diesel used'!AH53+'diesel used'!AH54</f>
        <v>0</v>
      </c>
      <c r="AK52" s="58">
        <f>'diesel used'!AI52</f>
        <v>0</v>
      </c>
      <c r="AL52" s="63" t="str">
        <f>IFERROR(AK52/AJ52, "X")</f>
        <v>X</v>
      </c>
    </row>
    <row r="53" spans="1:38">
      <c r="A53" s="57">
        <f>'diesel used'!A53</f>
        <v>46</v>
      </c>
      <c r="B53" s="57" t="s">
        <v>112</v>
      </c>
      <c r="C53" t="str">
        <f>'diesel used'!B53</f>
        <v>CMLTMW</v>
      </c>
      <c r="D53" t="str">
        <f>'diesel used'!C53</f>
        <v>LNG</v>
      </c>
      <c r="H53" t="str">
        <f>RIGHT('diesel used'!F53, LEN('diesel used'!F53) - FIND("-", 'diesel used'!F53))</f>
        <v>550</v>
      </c>
      <c r="K53" s="58"/>
      <c r="L53" s="58">
        <f>'diesel used'!J53</f>
        <v>0</v>
      </c>
      <c r="P53" s="58"/>
      <c r="Q53" s="58">
        <f>'diesel used'!O53</f>
        <v>0</v>
      </c>
      <c r="R53" s="63"/>
      <c r="U53" s="58"/>
      <c r="V53" s="58">
        <f>'diesel used'!T53</f>
        <v>0</v>
      </c>
      <c r="W53" s="63"/>
      <c r="Z53" s="58"/>
      <c r="AA53" s="58">
        <f>'diesel used'!Y53</f>
        <v>0</v>
      </c>
      <c r="AB53" s="63"/>
      <c r="AE53" s="58"/>
      <c r="AF53" s="58">
        <f>'diesel used'!AD53</f>
        <v>0</v>
      </c>
      <c r="AG53" s="63"/>
      <c r="AJ53" s="58"/>
      <c r="AK53" s="58">
        <f>'diesel used'!AI53</f>
        <v>0</v>
      </c>
      <c r="AL53" s="63"/>
    </row>
    <row r="54" spans="1:38">
      <c r="A54" s="57">
        <f>'diesel used'!A54</f>
        <v>47</v>
      </c>
      <c r="B54" s="57" t="s">
        <v>112</v>
      </c>
      <c r="C54" t="str">
        <f>'diesel used'!B54</f>
        <v>CMLTMW</v>
      </c>
      <c r="D54" t="str">
        <f>'diesel used'!C54</f>
        <v>LNG</v>
      </c>
      <c r="H54" t="str">
        <f>RIGHT('diesel used'!F54, LEN('diesel used'!F54) - FIND("-", 'diesel used'!F54))</f>
        <v>727</v>
      </c>
      <c r="K54" s="58"/>
      <c r="L54" s="58">
        <f>'diesel used'!J54</f>
        <v>0</v>
      </c>
      <c r="P54" s="58"/>
      <c r="Q54" s="58">
        <f>'diesel used'!O54</f>
        <v>0</v>
      </c>
      <c r="R54" s="63"/>
      <c r="U54" s="58"/>
      <c r="V54" s="58">
        <f>'diesel used'!T54</f>
        <v>0</v>
      </c>
      <c r="W54" s="63"/>
      <c r="Z54" s="58"/>
      <c r="AA54" s="58">
        <f>'diesel used'!Y54</f>
        <v>0</v>
      </c>
      <c r="AB54" s="63"/>
      <c r="AE54" s="58"/>
      <c r="AF54" s="58">
        <f>'diesel used'!AD54</f>
        <v>0</v>
      </c>
      <c r="AG54" s="63"/>
      <c r="AJ54" s="58"/>
      <c r="AK54" s="58">
        <f>'diesel used'!AI54</f>
        <v>0</v>
      </c>
      <c r="AL54" s="63"/>
    </row>
    <row r="55" spans="1:38">
      <c r="A55" s="57">
        <f>'diesel used'!A55</f>
        <v>48</v>
      </c>
      <c r="B55" s="57" t="s">
        <v>112</v>
      </c>
      <c r="C55" t="str">
        <f>'diesel used'!B55</f>
        <v>MP6.5</v>
      </c>
      <c r="D55" t="str">
        <f>'diesel used'!C55</f>
        <v>LNG</v>
      </c>
      <c r="H55" t="str">
        <f>RIGHT('diesel used'!F55, LEN('diesel used'!F55) - FIND("-", 'diesel used'!F55))</f>
        <v>550</v>
      </c>
      <c r="K55" s="58">
        <f>'diesel used'!I55+'diesel used'!I56</f>
        <v>0</v>
      </c>
      <c r="L55" s="58">
        <f>'diesel used'!J55</f>
        <v>3763.92</v>
      </c>
      <c r="M55" s="63" t="str">
        <f>IFERROR(L55/K55, "X")</f>
        <v>X</v>
      </c>
      <c r="P55" s="58">
        <f>'diesel used'!N55+'diesel used'!N56</f>
        <v>0</v>
      </c>
      <c r="Q55" s="58">
        <f>'diesel used'!O55</f>
        <v>3763.92</v>
      </c>
      <c r="R55" s="63" t="str">
        <f>IFERROR(Q55/P55, "X")</f>
        <v>X</v>
      </c>
      <c r="U55" s="58">
        <f>'diesel used'!S55+'diesel used'!S56</f>
        <v>0</v>
      </c>
      <c r="V55" s="58">
        <f>'diesel used'!T55</f>
        <v>3763.92</v>
      </c>
      <c r="W55" s="63" t="str">
        <f>IFERROR(V55/U55, "X")</f>
        <v>X</v>
      </c>
      <c r="Z55" s="58">
        <f>'diesel used'!X55+'diesel used'!X56</f>
        <v>0</v>
      </c>
      <c r="AA55" s="58">
        <f>'diesel used'!Y55</f>
        <v>3763.92</v>
      </c>
      <c r="AB55" s="63" t="str">
        <f>IFERROR(AA55/Z55, "X")</f>
        <v>X</v>
      </c>
      <c r="AE55" s="58">
        <f>'diesel used'!AC55+'diesel used'!AC56</f>
        <v>0</v>
      </c>
      <c r="AF55" s="58">
        <f>'diesel used'!AD55</f>
        <v>3763.92</v>
      </c>
      <c r="AG55" s="63" t="str">
        <f>IFERROR(AF55/AE55, "X")</f>
        <v>X</v>
      </c>
      <c r="AJ55" s="58">
        <f>'diesel used'!AH55+'diesel used'!AH56</f>
        <v>0</v>
      </c>
      <c r="AK55" s="58">
        <f>'diesel used'!AI55</f>
        <v>0</v>
      </c>
      <c r="AL55" s="63" t="str">
        <f>IFERROR(AK55/AJ55, "X")</f>
        <v>X</v>
      </c>
    </row>
    <row r="56" spans="1:38">
      <c r="A56" s="57">
        <f>'diesel used'!A56</f>
        <v>49</v>
      </c>
      <c r="B56" s="57" t="s">
        <v>112</v>
      </c>
      <c r="C56" t="str">
        <f>'diesel used'!B56</f>
        <v>MP6.5</v>
      </c>
      <c r="D56" t="str">
        <f>'diesel used'!C56</f>
        <v>LNG</v>
      </c>
      <c r="H56" t="str">
        <f>RIGHT('diesel used'!F56, LEN('diesel used'!F56) - FIND("-", 'diesel used'!F56))</f>
        <v>550</v>
      </c>
      <c r="K56" s="58"/>
      <c r="L56" s="58">
        <f>'diesel used'!J56</f>
        <v>0</v>
      </c>
      <c r="P56" s="58"/>
      <c r="Q56" s="58">
        <f>'diesel used'!O56</f>
        <v>0</v>
      </c>
      <c r="R56" s="63"/>
      <c r="U56" s="58"/>
      <c r="V56" s="58">
        <f>'diesel used'!T56</f>
        <v>0</v>
      </c>
      <c r="W56" s="63"/>
      <c r="Z56" s="58"/>
      <c r="AA56" s="58">
        <f>'diesel used'!Y56</f>
        <v>0</v>
      </c>
      <c r="AB56" s="63"/>
      <c r="AE56" s="58"/>
      <c r="AF56" s="58">
        <f>'diesel used'!AD56</f>
        <v>0</v>
      </c>
      <c r="AG56" s="63"/>
      <c r="AJ56" s="58"/>
      <c r="AK56" s="58">
        <f>'diesel used'!AI56</f>
        <v>0</v>
      </c>
      <c r="AL56" s="63"/>
    </row>
    <row r="57" spans="1:38">
      <c r="A57" s="57">
        <f>'diesel used'!A57</f>
        <v>50</v>
      </c>
      <c r="B57" s="57" t="s">
        <v>112</v>
      </c>
      <c r="C57" t="str">
        <f>'diesel used'!B57</f>
        <v>CMLSJ</v>
      </c>
      <c r="D57" t="str">
        <f>'diesel used'!C57</f>
        <v>LNG</v>
      </c>
      <c r="H57" t="str">
        <f>RIGHT('diesel used'!F57, LEN('diesel used'!F57) - FIND("-", 'diesel used'!F57))</f>
        <v>1000 (1)</v>
      </c>
      <c r="K57" s="58">
        <f>'diesel used'!I57+'diesel used'!I58+'diesel used'!I59+'diesel used'!I60</f>
        <v>0</v>
      </c>
      <c r="L57" s="58">
        <f>'diesel used'!J57</f>
        <v>18494</v>
      </c>
      <c r="M57" s="63" t="str">
        <f>IFERROR(L57/K57, "X")</f>
        <v>X</v>
      </c>
      <c r="P57" s="58">
        <f>'diesel used'!N57+'diesel used'!N58+'diesel used'!N59+'diesel used'!N60</f>
        <v>20</v>
      </c>
      <c r="Q57" s="58">
        <f>'diesel used'!O57</f>
        <v>18474</v>
      </c>
      <c r="R57" s="63">
        <f>IFERROR(Q57/P57, "X")</f>
        <v>923.7</v>
      </c>
      <c r="U57" s="58">
        <f>'diesel used'!S57+'diesel used'!S58+'diesel used'!S59+'diesel used'!S60</f>
        <v>0</v>
      </c>
      <c r="V57" s="58">
        <f>'diesel used'!T57</f>
        <v>18474</v>
      </c>
      <c r="W57" s="63" t="str">
        <f>IFERROR(V57/U57, "X")</f>
        <v>X</v>
      </c>
      <c r="Z57" s="58">
        <f>'diesel used'!X57+'diesel used'!X58+'diesel used'!X59+'diesel used'!X60</f>
        <v>0</v>
      </c>
      <c r="AA57" s="58">
        <f>'diesel used'!Y57</f>
        <v>18474</v>
      </c>
      <c r="AB57" s="63" t="str">
        <f>IFERROR(AA57/Z57, "X")</f>
        <v>X</v>
      </c>
      <c r="AE57" s="58">
        <f>'diesel used'!AC57+'diesel used'!AC58+'diesel used'!AC59+'diesel used'!AC60</f>
        <v>0</v>
      </c>
      <c r="AF57" s="58">
        <f>'diesel used'!AD57</f>
        <v>18474</v>
      </c>
      <c r="AG57" s="63" t="str">
        <f>IFERROR(AF57/AE57, "X")</f>
        <v>X</v>
      </c>
      <c r="AJ57" s="58">
        <f>'diesel used'!AH57+'diesel used'!AH58+'diesel used'!AH59+'diesel used'!AH60</f>
        <v>0</v>
      </c>
      <c r="AK57" s="58">
        <f>'diesel used'!AI57</f>
        <v>0</v>
      </c>
      <c r="AL57" s="63" t="str">
        <f>IFERROR(AK57/AJ57, "X")</f>
        <v>X</v>
      </c>
    </row>
    <row r="58" spans="1:38">
      <c r="A58" s="57">
        <f>'diesel used'!A58</f>
        <v>51</v>
      </c>
      <c r="B58" s="57" t="s">
        <v>112</v>
      </c>
      <c r="C58" t="str">
        <f>'diesel used'!B58</f>
        <v>CMLSJ</v>
      </c>
      <c r="D58" t="str">
        <f>'diesel used'!C58</f>
        <v>LNG</v>
      </c>
      <c r="H58" t="str">
        <f>RIGHT('diesel used'!F58, LEN('diesel used'!F58) - FIND("-", 'diesel used'!F58))</f>
        <v>1000 (2)</v>
      </c>
      <c r="K58" s="58"/>
      <c r="L58" s="58">
        <f>'diesel used'!J58</f>
        <v>0</v>
      </c>
      <c r="P58" s="58"/>
      <c r="Q58" s="58">
        <f>'diesel used'!O58</f>
        <v>0</v>
      </c>
      <c r="R58" s="63"/>
      <c r="U58" s="58"/>
      <c r="V58" s="58">
        <f>'diesel used'!T58</f>
        <v>0</v>
      </c>
      <c r="W58" s="63"/>
      <c r="Z58" s="58"/>
      <c r="AA58" s="58">
        <f>'diesel used'!Y58</f>
        <v>0</v>
      </c>
      <c r="AB58" s="63"/>
      <c r="AE58" s="58"/>
      <c r="AF58" s="58">
        <f>'diesel used'!AD58</f>
        <v>0</v>
      </c>
      <c r="AG58" s="63"/>
      <c r="AJ58" s="58"/>
      <c r="AK58" s="58">
        <f>'diesel used'!AI58</f>
        <v>0</v>
      </c>
      <c r="AL58" s="63"/>
    </row>
    <row r="59" spans="1:38">
      <c r="A59" s="57">
        <f>'diesel used'!A59</f>
        <v>52</v>
      </c>
      <c r="B59" s="57" t="s">
        <v>112</v>
      </c>
      <c r="C59" t="str">
        <f>'diesel used'!B59</f>
        <v>CMLSJ</v>
      </c>
      <c r="D59" t="str">
        <f>'diesel used'!C59</f>
        <v>LNG</v>
      </c>
      <c r="H59" t="str">
        <f>RIGHT('diesel used'!F59, LEN('diesel used'!F59) - FIND("-", 'diesel used'!F59))</f>
        <v>1000 (3)</v>
      </c>
      <c r="K59" s="58"/>
      <c r="L59" s="58">
        <f>'diesel used'!J59</f>
        <v>0</v>
      </c>
      <c r="P59" s="58"/>
      <c r="Q59" s="58">
        <f>'diesel used'!O59</f>
        <v>0</v>
      </c>
      <c r="R59" s="63"/>
      <c r="U59" s="58"/>
      <c r="V59" s="58">
        <f>'diesel used'!T59</f>
        <v>0</v>
      </c>
      <c r="W59" s="63"/>
      <c r="Z59" s="58"/>
      <c r="AA59" s="58">
        <f>'diesel used'!Y59</f>
        <v>0</v>
      </c>
      <c r="AB59" s="63"/>
      <c r="AE59" s="58"/>
      <c r="AF59" s="58">
        <f>'diesel used'!AD59</f>
        <v>0</v>
      </c>
      <c r="AG59" s="63"/>
      <c r="AJ59" s="58"/>
      <c r="AK59" s="58">
        <f>'diesel used'!AI59</f>
        <v>0</v>
      </c>
      <c r="AL59" s="63"/>
    </row>
    <row r="60" spans="1:38">
      <c r="A60" s="57">
        <f>'diesel used'!A60</f>
        <v>53</v>
      </c>
      <c r="B60" s="57" t="s">
        <v>112</v>
      </c>
      <c r="C60" t="str">
        <f>'diesel used'!B60</f>
        <v>CMLSJ</v>
      </c>
      <c r="D60" t="str">
        <f>'diesel used'!C60</f>
        <v>LNG</v>
      </c>
      <c r="H60" t="str">
        <f>RIGHT('diesel used'!F60, LEN('diesel used'!F60) - FIND("-", 'diesel used'!F60))</f>
        <v>1000 (4)</v>
      </c>
      <c r="K60" s="58"/>
      <c r="L60" s="58">
        <f>'diesel used'!J60</f>
        <v>0</v>
      </c>
      <c r="P60" s="58"/>
      <c r="Q60" s="58">
        <f>'diesel used'!O60</f>
        <v>0</v>
      </c>
      <c r="R60" s="63"/>
      <c r="U60" s="58"/>
      <c r="V60" s="58">
        <f>'diesel used'!T60</f>
        <v>0</v>
      </c>
      <c r="W60" s="63"/>
      <c r="Z60" s="58"/>
      <c r="AA60" s="58">
        <f>'diesel used'!Y60</f>
        <v>0</v>
      </c>
      <c r="AB60" s="63"/>
      <c r="AE60" s="58"/>
      <c r="AF60" s="58">
        <f>'diesel used'!AD60</f>
        <v>0</v>
      </c>
      <c r="AG60" s="63"/>
      <c r="AJ60" s="58"/>
      <c r="AK60" s="58">
        <f>'diesel used'!AI60</f>
        <v>0</v>
      </c>
      <c r="AL60" s="63"/>
    </row>
    <row r="61" spans="1:38">
      <c r="A61" s="57"/>
      <c r="B61" s="57"/>
    </row>
    <row r="62" spans="1:38">
      <c r="A62" s="57">
        <f>'diesel used'!A62</f>
        <v>1</v>
      </c>
      <c r="B62" s="57" t="s">
        <v>114</v>
      </c>
      <c r="C62" t="str">
        <f>'diesel used'!B62</f>
        <v>CMJSQ</v>
      </c>
      <c r="D62">
        <f>'diesel used'!C62</f>
        <v>0</v>
      </c>
      <c r="H62" s="58">
        <f>'diesel used'!F62</f>
        <v>220</v>
      </c>
      <c r="K62" s="58">
        <f>'diesel used'!I62</f>
        <v>0</v>
      </c>
      <c r="L62" s="58">
        <f>'diesel used'!J62</f>
        <v>1091.04</v>
      </c>
      <c r="M62" s="63" t="str">
        <f>IFERROR(L62/K62, "X")</f>
        <v>X</v>
      </c>
      <c r="P62" s="58">
        <f>'diesel used'!N62</f>
        <v>0</v>
      </c>
      <c r="Q62" s="58">
        <f>'diesel used'!O62</f>
        <v>1091.04</v>
      </c>
      <c r="R62" s="63" t="str">
        <f>IFERROR(Q62/P62, "X")</f>
        <v>X</v>
      </c>
      <c r="U62" s="58">
        <f>'diesel used'!S62</f>
        <v>0</v>
      </c>
      <c r="V62" s="58">
        <f>'diesel used'!T62</f>
        <v>1091.04</v>
      </c>
      <c r="W62" s="63" t="str">
        <f>IFERROR(V62/U62, "X")</f>
        <v>X</v>
      </c>
      <c r="Z62" s="58">
        <f>'diesel used'!X62</f>
        <v>0</v>
      </c>
      <c r="AA62" s="58">
        <f>'diesel used'!Y62</f>
        <v>1091.04</v>
      </c>
      <c r="AB62" s="63" t="str">
        <f>IFERROR(AA62/Z62, "X")</f>
        <v>X</v>
      </c>
      <c r="AE62" s="58">
        <f>'diesel used'!AC62</f>
        <v>0</v>
      </c>
      <c r="AF62" s="58">
        <f>'diesel used'!AD62</f>
        <v>1091.04</v>
      </c>
      <c r="AG62" s="63" t="str">
        <f>IFERROR(AF62/AE62, "X")</f>
        <v>X</v>
      </c>
      <c r="AJ62" s="58">
        <f>'diesel used'!AH62</f>
        <v>0</v>
      </c>
      <c r="AK62" s="58">
        <f>'diesel used'!AI62</f>
        <v>0</v>
      </c>
      <c r="AL62" s="63" t="str">
        <f>IFERROR(AK62/AJ62, "X")</f>
        <v>X</v>
      </c>
    </row>
    <row r="63" spans="1:38">
      <c r="A63" s="57">
        <f>'diesel used'!A63</f>
        <v>2</v>
      </c>
      <c r="B63" s="57" t="s">
        <v>114</v>
      </c>
      <c r="C63" t="str">
        <f>'diesel used'!B63</f>
        <v>CMJMT</v>
      </c>
      <c r="D63">
        <f>'diesel used'!C63</f>
        <v>0</v>
      </c>
      <c r="H63" s="58">
        <f>'diesel used'!F63</f>
        <v>275</v>
      </c>
      <c r="K63" s="58">
        <f>'diesel used'!I63</f>
        <v>0</v>
      </c>
      <c r="L63" s="58">
        <f>'diesel used'!J63</f>
        <v>1777</v>
      </c>
      <c r="M63" s="63" t="str">
        <f t="shared" ref="M63:M93" si="0">IFERROR(L63/K63, "X")</f>
        <v>X</v>
      </c>
      <c r="P63" s="58">
        <f>'diesel used'!N63</f>
        <v>45</v>
      </c>
      <c r="Q63" s="58">
        <f>'diesel used'!O63</f>
        <v>1732</v>
      </c>
      <c r="R63" s="63">
        <f t="shared" ref="R63:R84" si="1">IFERROR(Q63/P63, "X")</f>
        <v>38.488888888888887</v>
      </c>
      <c r="U63" s="58">
        <f>'diesel used'!S63</f>
        <v>60</v>
      </c>
      <c r="V63" s="58">
        <f>'diesel used'!T63</f>
        <v>1672</v>
      </c>
      <c r="W63" s="63">
        <f t="shared" ref="W63:W84" si="2">IFERROR(V63/U63, "X")</f>
        <v>27.866666666666667</v>
      </c>
      <c r="Z63" s="58">
        <f>'diesel used'!X63</f>
        <v>0</v>
      </c>
      <c r="AA63" s="58">
        <f>'diesel used'!Y63</f>
        <v>1672</v>
      </c>
      <c r="AB63" s="63" t="str">
        <f t="shared" ref="AB63:AB84" si="3">IFERROR(AA63/Z63, "X")</f>
        <v>X</v>
      </c>
      <c r="AE63" s="58">
        <f>'diesel used'!AC63</f>
        <v>0</v>
      </c>
      <c r="AF63" s="58">
        <f>'diesel used'!AD63</f>
        <v>1672</v>
      </c>
      <c r="AG63" s="63" t="str">
        <f t="shared" ref="AG63:AG84" si="4">IFERROR(AF63/AE63, "X")</f>
        <v>X</v>
      </c>
      <c r="AJ63" s="58">
        <f>'diesel used'!AH63</f>
        <v>0</v>
      </c>
      <c r="AK63" s="58">
        <f>'diesel used'!AI63</f>
        <v>0</v>
      </c>
      <c r="AL63" s="63" t="str">
        <f t="shared" ref="AL63:AL84" si="5">IFERROR(AK63/AJ63, "X")</f>
        <v>X</v>
      </c>
    </row>
    <row r="64" spans="1:38">
      <c r="A64" s="57">
        <f>'diesel used'!A64</f>
        <v>3</v>
      </c>
      <c r="B64" s="57" t="s">
        <v>114</v>
      </c>
      <c r="C64" t="str">
        <f>'diesel used'!B64</f>
        <v>CMISPK</v>
      </c>
      <c r="D64">
        <f>'diesel used'!C64</f>
        <v>0</v>
      </c>
      <c r="H64" s="58">
        <f>'diesel used'!F64</f>
        <v>500</v>
      </c>
      <c r="K64" s="58">
        <f>'diesel used'!I64</f>
        <v>90</v>
      </c>
      <c r="L64" s="58">
        <f>'diesel used'!J64</f>
        <v>1736</v>
      </c>
      <c r="M64" s="63">
        <f t="shared" si="0"/>
        <v>19.288888888888888</v>
      </c>
      <c r="P64" s="58">
        <f>'diesel used'!N64</f>
        <v>236.39200000000002</v>
      </c>
      <c r="Q64" s="58">
        <f>'diesel used'!O64</f>
        <v>2371.1999999999998</v>
      </c>
      <c r="R64" s="63">
        <f t="shared" si="1"/>
        <v>10.030796304443465</v>
      </c>
      <c r="U64" s="58">
        <f>'diesel used'!S64</f>
        <v>136.38</v>
      </c>
      <c r="V64" s="58">
        <f>'diesel used'!T64</f>
        <v>2863.98</v>
      </c>
      <c r="W64" s="63">
        <f t="shared" si="2"/>
        <v>21</v>
      </c>
      <c r="Z64" s="58">
        <f>'diesel used'!X64</f>
        <v>340.95</v>
      </c>
      <c r="AA64" s="58">
        <f>'diesel used'!Y64</f>
        <v>2477.5700000000002</v>
      </c>
      <c r="AB64" s="63">
        <f t="shared" si="3"/>
        <v>7.2666666666666675</v>
      </c>
      <c r="AE64" s="58">
        <f>'diesel used'!AC64</f>
        <v>136.38</v>
      </c>
      <c r="AF64" s="58">
        <f>'diesel used'!AD64</f>
        <v>2250.27</v>
      </c>
      <c r="AG64" s="63">
        <f t="shared" si="4"/>
        <v>16.5</v>
      </c>
      <c r="AJ64" s="58">
        <f>'diesel used'!AH64</f>
        <v>0</v>
      </c>
      <c r="AK64" s="58">
        <f>'diesel used'!AI64</f>
        <v>0</v>
      </c>
      <c r="AL64" s="63" t="str">
        <f t="shared" si="5"/>
        <v>X</v>
      </c>
    </row>
    <row r="65" spans="1:38">
      <c r="A65" s="57">
        <f>'diesel used'!A65</f>
        <v>4</v>
      </c>
      <c r="B65" s="57" t="s">
        <v>114</v>
      </c>
      <c r="C65" t="str">
        <f>'diesel used'!B65</f>
        <v>CMJ8</v>
      </c>
      <c r="D65">
        <f>'diesel used'!C65</f>
        <v>0</v>
      </c>
      <c r="H65" s="58">
        <f>'diesel used'!F65</f>
        <v>410</v>
      </c>
      <c r="K65" s="58">
        <f>'diesel used'!I65</f>
        <v>145</v>
      </c>
      <c r="L65" s="58">
        <f>'diesel used'!J65</f>
        <v>991</v>
      </c>
      <c r="M65" s="63">
        <f t="shared" si="0"/>
        <v>6.8344827586206893</v>
      </c>
      <c r="P65" s="58">
        <f>'diesel used'!N65</f>
        <v>36</v>
      </c>
      <c r="Q65" s="58">
        <f>'diesel used'!O65</f>
        <v>1446</v>
      </c>
      <c r="R65" s="63">
        <f t="shared" si="1"/>
        <v>40.166666666666664</v>
      </c>
      <c r="U65" s="58">
        <f>'diesel used'!S65</f>
        <v>8</v>
      </c>
      <c r="V65" s="58">
        <f>'diesel used'!T65</f>
        <v>1923</v>
      </c>
      <c r="W65" s="63">
        <f t="shared" si="2"/>
        <v>240.375</v>
      </c>
      <c r="Z65" s="58">
        <f>'diesel used'!X65</f>
        <v>8</v>
      </c>
      <c r="AA65" s="58">
        <f>'diesel used'!Y65</f>
        <v>1946</v>
      </c>
      <c r="AB65" s="63">
        <f t="shared" si="3"/>
        <v>243.25</v>
      </c>
      <c r="AE65" s="58">
        <f>'diesel used'!AC65</f>
        <v>8</v>
      </c>
      <c r="AF65" s="58">
        <f>'diesel used'!AD65</f>
        <v>1938</v>
      </c>
      <c r="AG65" s="63">
        <f t="shared" si="4"/>
        <v>242.25</v>
      </c>
      <c r="AJ65" s="58">
        <f>'diesel used'!AH65</f>
        <v>0</v>
      </c>
      <c r="AK65" s="58">
        <f>'diesel used'!AI65</f>
        <v>0</v>
      </c>
      <c r="AL65" s="63" t="str">
        <f t="shared" si="5"/>
        <v>X</v>
      </c>
    </row>
    <row r="66" spans="1:38">
      <c r="A66" s="57">
        <f>'diesel used'!A66</f>
        <v>5</v>
      </c>
      <c r="B66" s="57" t="s">
        <v>114</v>
      </c>
      <c r="C66" t="str">
        <f>'diesel used'!B66</f>
        <v>CMZWN</v>
      </c>
      <c r="D66">
        <f>'diesel used'!C66</f>
        <v>0</v>
      </c>
      <c r="H66" s="58">
        <f>'diesel used'!F66</f>
        <v>350</v>
      </c>
      <c r="K66" s="58">
        <f>'diesel used'!I66</f>
        <v>81</v>
      </c>
      <c r="L66" s="58">
        <f>'diesel used'!J66</f>
        <v>225</v>
      </c>
      <c r="M66" s="63">
        <f t="shared" si="0"/>
        <v>2.7777777777777777</v>
      </c>
      <c r="P66" s="58">
        <f>'diesel used'!N66</f>
        <v>81</v>
      </c>
      <c r="Q66" s="58">
        <f>'diesel used'!O66</f>
        <v>675</v>
      </c>
      <c r="R66" s="63">
        <f t="shared" si="1"/>
        <v>8.3333333333333339</v>
      </c>
      <c r="U66" s="58">
        <f>'diesel used'!S66</f>
        <v>196</v>
      </c>
      <c r="V66" s="58">
        <f>'diesel used'!T66</f>
        <v>450</v>
      </c>
      <c r="W66" s="86">
        <f t="shared" si="2"/>
        <v>2.295918367346939</v>
      </c>
      <c r="Z66" s="58">
        <f>'diesel used'!X66</f>
        <v>270</v>
      </c>
      <c r="AA66" s="58">
        <f>'diesel used'!Y66</f>
        <v>247</v>
      </c>
      <c r="AB66" s="86">
        <f t="shared" si="3"/>
        <v>0.91481481481481486</v>
      </c>
      <c r="AE66" s="58">
        <f>'diesel used'!AC66</f>
        <v>324</v>
      </c>
      <c r="AF66" s="58">
        <f>'diesel used'!AD66</f>
        <v>585</v>
      </c>
      <c r="AG66" s="86">
        <f t="shared" si="4"/>
        <v>1.8055555555555556</v>
      </c>
      <c r="AJ66" s="58">
        <f>'diesel used'!AH66</f>
        <v>0</v>
      </c>
      <c r="AK66" s="58">
        <f>'diesel used'!AI66</f>
        <v>0</v>
      </c>
      <c r="AL66" s="86" t="str">
        <f t="shared" si="5"/>
        <v>X</v>
      </c>
    </row>
    <row r="67" spans="1:38">
      <c r="A67" s="57">
        <f>'diesel used'!A67</f>
        <v>6</v>
      </c>
      <c r="B67" s="57" t="s">
        <v>114</v>
      </c>
      <c r="C67" t="str">
        <f>'diesel used'!B67</f>
        <v>CMYK</v>
      </c>
      <c r="D67">
        <f>'diesel used'!C67</f>
        <v>0</v>
      </c>
      <c r="H67" s="58">
        <f>'diesel used'!F67</f>
        <v>350</v>
      </c>
      <c r="K67" s="58">
        <f>'diesel used'!I67</f>
        <v>118.19600000000001</v>
      </c>
      <c r="L67" s="58">
        <f>'diesel used'!J67</f>
        <v>1816</v>
      </c>
      <c r="M67" s="63">
        <f t="shared" si="0"/>
        <v>15.364310128938373</v>
      </c>
      <c r="P67" s="58">
        <f>'diesel used'!N67</f>
        <v>136.38</v>
      </c>
      <c r="Q67" s="58">
        <f>'diesel used'!O67</f>
        <v>1589</v>
      </c>
      <c r="R67" s="63">
        <f t="shared" si="1"/>
        <v>11.651268514444933</v>
      </c>
      <c r="U67" s="58" t="str">
        <f>'diesel used'!S67</f>
        <v>-</v>
      </c>
      <c r="V67" s="58">
        <f>'diesel used'!T67</f>
        <v>1666</v>
      </c>
      <c r="W67" s="63" t="str">
        <f t="shared" si="2"/>
        <v>X</v>
      </c>
      <c r="Z67" s="58">
        <f>'diesel used'!X67</f>
        <v>258</v>
      </c>
      <c r="AA67" s="58">
        <f>'diesel used'!Y67</f>
        <v>1407</v>
      </c>
      <c r="AB67" s="63">
        <f t="shared" si="3"/>
        <v>5.4534883720930232</v>
      </c>
      <c r="AE67" s="58">
        <f>'diesel used'!AC67</f>
        <v>32</v>
      </c>
      <c r="AF67" s="58">
        <f>'diesel used'!AD67</f>
        <v>1376</v>
      </c>
      <c r="AG67" s="63">
        <f t="shared" si="4"/>
        <v>43</v>
      </c>
      <c r="AJ67" s="58">
        <f>'diesel used'!AH67</f>
        <v>0</v>
      </c>
      <c r="AK67" s="58">
        <f>'diesel used'!AI67</f>
        <v>0</v>
      </c>
      <c r="AL67" s="63" t="str">
        <f t="shared" si="5"/>
        <v>X</v>
      </c>
    </row>
    <row r="68" spans="1:38">
      <c r="A68" s="57">
        <f>'diesel used'!A68</f>
        <v>7</v>
      </c>
      <c r="B68" s="57" t="s">
        <v>114</v>
      </c>
      <c r="C68" t="str">
        <f>'diesel used'!B68</f>
        <v>CMFMI</v>
      </c>
      <c r="D68">
        <f>'diesel used'!C68</f>
        <v>0</v>
      </c>
      <c r="H68" s="58">
        <f>'diesel used'!F68</f>
        <v>315</v>
      </c>
      <c r="K68" s="58">
        <f>'diesel used'!I68</f>
        <v>13</v>
      </c>
      <c r="L68" s="58">
        <f>'diesel used'!J68</f>
        <v>1336</v>
      </c>
      <c r="M68" s="63">
        <f t="shared" si="0"/>
        <v>102.76923076923077</v>
      </c>
      <c r="P68" s="58">
        <f>'diesel used'!N68</f>
        <v>27</v>
      </c>
      <c r="Q68" s="58">
        <f>'diesel used'!O68</f>
        <v>1336</v>
      </c>
      <c r="R68" s="63">
        <f t="shared" si="1"/>
        <v>49.481481481481481</v>
      </c>
      <c r="U68" s="58" t="str">
        <f>'diesel used'!S68</f>
        <v>-</v>
      </c>
      <c r="V68" s="58">
        <f>'diesel used'!T68</f>
        <v>1336</v>
      </c>
      <c r="W68" s="63" t="str">
        <f t="shared" si="2"/>
        <v>X</v>
      </c>
      <c r="Z68" s="58">
        <f>'diesel used'!X68</f>
        <v>13</v>
      </c>
      <c r="AA68" s="58">
        <f>'diesel used'!Y68</f>
        <v>1336</v>
      </c>
      <c r="AB68" s="63">
        <f t="shared" si="3"/>
        <v>102.76923076923077</v>
      </c>
      <c r="AE68" s="58">
        <f>'diesel used'!AC68</f>
        <v>4</v>
      </c>
      <c r="AF68" s="58">
        <f>'diesel used'!AD68</f>
        <v>1563</v>
      </c>
      <c r="AG68" s="63">
        <f t="shared" si="4"/>
        <v>390.75</v>
      </c>
      <c r="AJ68" s="58">
        <f>'diesel used'!AH68</f>
        <v>0</v>
      </c>
      <c r="AK68" s="58">
        <f>'diesel used'!AI68</f>
        <v>0</v>
      </c>
      <c r="AL68" s="63" t="str">
        <f t="shared" si="5"/>
        <v>X</v>
      </c>
    </row>
    <row r="69" spans="1:38">
      <c r="A69" s="57">
        <f>'diesel used'!A69</f>
        <v>8</v>
      </c>
      <c r="B69" s="57" t="s">
        <v>114</v>
      </c>
      <c r="C69" t="str">
        <f>'diesel used'!B69</f>
        <v>CMCWHAL</v>
      </c>
      <c r="D69">
        <f>'diesel used'!C69</f>
        <v>0</v>
      </c>
      <c r="H69" s="58">
        <f>'diesel used'!F69</f>
        <v>160</v>
      </c>
      <c r="K69" s="58">
        <f>'diesel used'!I69</f>
        <v>32</v>
      </c>
      <c r="L69" s="58">
        <f>'diesel used'!J69</f>
        <v>1354</v>
      </c>
      <c r="M69" s="63">
        <f t="shared" si="0"/>
        <v>42.3125</v>
      </c>
      <c r="P69" s="58">
        <f>'diesel used'!N69</f>
        <v>18.18</v>
      </c>
      <c r="Q69" s="58">
        <f>'diesel used'!O69</f>
        <v>1309</v>
      </c>
      <c r="R69" s="63">
        <f t="shared" si="1"/>
        <v>72.002200220022004</v>
      </c>
      <c r="U69" s="58">
        <f>'diesel used'!S69</f>
        <v>45.46</v>
      </c>
      <c r="V69" s="58">
        <f>'diesel used'!T69</f>
        <v>1263</v>
      </c>
      <c r="W69" s="63">
        <f t="shared" si="2"/>
        <v>27.782666080070392</v>
      </c>
      <c r="Z69" s="58">
        <f>'diesel used'!X69</f>
        <v>274</v>
      </c>
      <c r="AA69" s="58">
        <f>'diesel used'!Y69</f>
        <v>1245</v>
      </c>
      <c r="AB69" s="63">
        <f t="shared" si="3"/>
        <v>4.5437956204379564</v>
      </c>
      <c r="AE69" s="58" t="str">
        <f>'diesel used'!AC69</f>
        <v>-</v>
      </c>
      <c r="AF69" s="58">
        <f>'diesel used'!AD69</f>
        <v>1245</v>
      </c>
      <c r="AG69" s="63" t="str">
        <f t="shared" si="4"/>
        <v>X</v>
      </c>
      <c r="AJ69" s="58">
        <f>'diesel used'!AH69</f>
        <v>0</v>
      </c>
      <c r="AK69" s="58">
        <f>'diesel used'!AI69</f>
        <v>0</v>
      </c>
      <c r="AL69" s="63" t="str">
        <f t="shared" si="5"/>
        <v>X</v>
      </c>
    </row>
    <row r="70" spans="1:38">
      <c r="A70" s="57">
        <f>'diesel used'!A70</f>
        <v>9</v>
      </c>
      <c r="B70" s="57" t="s">
        <v>114</v>
      </c>
      <c r="C70" t="str">
        <f>'diesel used'!B70</f>
        <v>CMAL</v>
      </c>
      <c r="D70">
        <f>'diesel used'!C70</f>
        <v>0</v>
      </c>
      <c r="H70" s="58">
        <f>'diesel used'!F70</f>
        <v>410</v>
      </c>
      <c r="K70" s="58">
        <f>'diesel used'!I70</f>
        <v>59</v>
      </c>
      <c r="L70" s="58">
        <f>'diesel used'!J70</f>
        <v>1180</v>
      </c>
      <c r="M70" s="63">
        <f t="shared" si="0"/>
        <v>20</v>
      </c>
      <c r="P70" s="58">
        <f>'diesel used'!N70</f>
        <v>81</v>
      </c>
      <c r="Q70" s="58">
        <f>'diesel used'!O70</f>
        <v>1416</v>
      </c>
      <c r="R70" s="63">
        <f t="shared" si="1"/>
        <v>17.481481481481481</v>
      </c>
      <c r="U70" s="58">
        <f>'diesel used'!S70</f>
        <v>0</v>
      </c>
      <c r="V70" s="58">
        <f>'diesel used'!T70</f>
        <v>1416</v>
      </c>
      <c r="W70" s="63" t="str">
        <f t="shared" si="2"/>
        <v>X</v>
      </c>
      <c r="Z70" s="58">
        <f>'diesel used'!X70</f>
        <v>45</v>
      </c>
      <c r="AA70" s="58">
        <f>'diesel used'!Y70</f>
        <v>1407</v>
      </c>
      <c r="AB70" s="63">
        <f t="shared" si="3"/>
        <v>31.266666666666666</v>
      </c>
      <c r="AE70" s="58">
        <f>'diesel used'!AC70</f>
        <v>0</v>
      </c>
      <c r="AF70" s="58">
        <f>'diesel used'!AD70</f>
        <v>1407</v>
      </c>
      <c r="AG70" s="63" t="str">
        <f t="shared" si="4"/>
        <v>X</v>
      </c>
      <c r="AJ70" s="58">
        <f>'diesel used'!AH70</f>
        <v>0</v>
      </c>
      <c r="AK70" s="58">
        <f>'diesel used'!AI70</f>
        <v>0</v>
      </c>
      <c r="AL70" s="63" t="str">
        <f t="shared" si="5"/>
        <v>X</v>
      </c>
    </row>
    <row r="71" spans="1:38">
      <c r="A71" s="57">
        <f>'diesel used'!A71</f>
        <v>10</v>
      </c>
      <c r="B71" s="57" t="s">
        <v>114</v>
      </c>
      <c r="C71" t="str">
        <f>'diesel used'!B71</f>
        <v>CMBH</v>
      </c>
      <c r="D71">
        <f>'diesel used'!C71</f>
        <v>0</v>
      </c>
      <c r="H71" s="58">
        <f>'diesel used'!F71</f>
        <v>250</v>
      </c>
      <c r="K71" s="58">
        <f>'diesel used'!I71</f>
        <v>20</v>
      </c>
      <c r="L71" s="58">
        <f>'diesel used'!J71</f>
        <v>2310</v>
      </c>
      <c r="M71" s="63">
        <f t="shared" si="0"/>
        <v>115.5</v>
      </c>
      <c r="P71" s="58">
        <f>'diesel used'!N71</f>
        <v>30</v>
      </c>
      <c r="Q71" s="58">
        <f>'diesel used'!O71</f>
        <v>2280</v>
      </c>
      <c r="R71" s="63">
        <f t="shared" si="1"/>
        <v>76</v>
      </c>
      <c r="U71" s="58">
        <f>'diesel used'!S71</f>
        <v>0</v>
      </c>
      <c r="V71" s="58">
        <f>'diesel used'!T71</f>
        <v>2280</v>
      </c>
      <c r="W71" s="63" t="str">
        <f t="shared" si="2"/>
        <v>X</v>
      </c>
      <c r="Z71" s="58">
        <f>'diesel used'!X71</f>
        <v>0</v>
      </c>
      <c r="AA71" s="58">
        <f>'diesel used'!Y71</f>
        <v>2280</v>
      </c>
      <c r="AB71" s="63" t="str">
        <f t="shared" si="3"/>
        <v>X</v>
      </c>
      <c r="AE71" s="58">
        <f>'diesel used'!AC71</f>
        <v>0</v>
      </c>
      <c r="AF71" s="58">
        <f>'diesel used'!AD71</f>
        <v>2500</v>
      </c>
      <c r="AG71" s="63" t="str">
        <f t="shared" si="4"/>
        <v>X</v>
      </c>
      <c r="AJ71" s="58">
        <f>'diesel used'!AH71</f>
        <v>0</v>
      </c>
      <c r="AK71" s="58">
        <f>'diesel used'!AI71</f>
        <v>0</v>
      </c>
      <c r="AL71" s="63" t="str">
        <f t="shared" si="5"/>
        <v>X</v>
      </c>
    </row>
    <row r="72" spans="1:38">
      <c r="A72" s="57">
        <f>'diesel used'!A72</f>
        <v>11</v>
      </c>
      <c r="B72" s="57" t="s">
        <v>114</v>
      </c>
      <c r="C72" t="str">
        <f>'diesel used'!B72</f>
        <v>CMAT</v>
      </c>
      <c r="D72">
        <f>'diesel used'!C72</f>
        <v>0</v>
      </c>
      <c r="H72" s="58">
        <f>'diesel used'!F72</f>
        <v>410</v>
      </c>
      <c r="K72" s="58">
        <f>'diesel used'!I72</f>
        <v>113.65</v>
      </c>
      <c r="L72" s="58">
        <f>'diesel used'!J72</f>
        <v>1097</v>
      </c>
      <c r="M72" s="63">
        <f t="shared" si="0"/>
        <v>9.6524417069951607</v>
      </c>
      <c r="P72" s="58">
        <f>'diesel used'!N72</f>
        <v>136.38</v>
      </c>
      <c r="Q72" s="58">
        <f>'diesel used'!O72</f>
        <v>984</v>
      </c>
      <c r="R72" s="63">
        <f t="shared" si="1"/>
        <v>7.2151341838979324</v>
      </c>
      <c r="U72" s="58">
        <f>'diesel used'!S72</f>
        <v>42</v>
      </c>
      <c r="V72" s="58">
        <f>'diesel used'!T72</f>
        <v>946</v>
      </c>
      <c r="W72" s="63">
        <f t="shared" si="2"/>
        <v>22.523809523809526</v>
      </c>
      <c r="Z72" s="58">
        <f>'diesel used'!X72</f>
        <v>227</v>
      </c>
      <c r="AA72" s="58">
        <f>'diesel used'!Y72</f>
        <v>719</v>
      </c>
      <c r="AB72" s="63">
        <f t="shared" si="3"/>
        <v>3.1674008810572687</v>
      </c>
      <c r="AE72" s="58">
        <f>'diesel used'!AC72</f>
        <v>151</v>
      </c>
      <c r="AF72" s="58">
        <f>'diesel used'!AD72</f>
        <v>568</v>
      </c>
      <c r="AG72" s="63">
        <f t="shared" si="4"/>
        <v>3.76158940397351</v>
      </c>
      <c r="AJ72" s="58">
        <f>'diesel used'!AH72</f>
        <v>0</v>
      </c>
      <c r="AK72" s="58">
        <f>'diesel used'!AI72</f>
        <v>0</v>
      </c>
      <c r="AL72" s="63" t="str">
        <f t="shared" si="5"/>
        <v>X</v>
      </c>
    </row>
    <row r="73" spans="1:38">
      <c r="A73" s="57">
        <f>'diesel used'!A73</f>
        <v>12</v>
      </c>
      <c r="B73" s="57" t="s">
        <v>114</v>
      </c>
      <c r="C73" t="str">
        <f>'diesel used'!B73</f>
        <v>CM50</v>
      </c>
      <c r="D73">
        <f>'diesel used'!C73</f>
        <v>0</v>
      </c>
      <c r="H73" s="58">
        <f>'diesel used'!F73</f>
        <v>350</v>
      </c>
      <c r="K73" s="58">
        <f>'diesel used'!I73</f>
        <v>160.6</v>
      </c>
      <c r="L73" s="58">
        <f>'diesel used'!J73</f>
        <v>2243</v>
      </c>
      <c r="M73" s="63">
        <f t="shared" si="0"/>
        <v>13.966376089663761</v>
      </c>
      <c r="P73" s="58">
        <f>'diesel used'!N73</f>
        <v>156.30000000000001</v>
      </c>
      <c r="Q73" s="58">
        <f>'diesel used'!O73</f>
        <v>2087</v>
      </c>
      <c r="R73" s="63">
        <f t="shared" si="1"/>
        <v>13.352527191298783</v>
      </c>
      <c r="U73" s="58">
        <f>'diesel used'!S73</f>
        <v>40</v>
      </c>
      <c r="V73" s="58">
        <f>'diesel used'!T73</f>
        <v>2274</v>
      </c>
      <c r="W73" s="63">
        <f t="shared" si="2"/>
        <v>56.85</v>
      </c>
      <c r="Z73" s="58">
        <f>'diesel used'!X73</f>
        <v>354</v>
      </c>
      <c r="AA73" s="58">
        <f>'diesel used'!Y73</f>
        <v>1919</v>
      </c>
      <c r="AB73" s="63">
        <f t="shared" si="3"/>
        <v>5.4209039548022595</v>
      </c>
      <c r="AE73" s="58">
        <f>'diesel used'!AC73</f>
        <v>25</v>
      </c>
      <c r="AF73" s="58">
        <f>'diesel used'!AD73</f>
        <v>2121</v>
      </c>
      <c r="AG73" s="63">
        <f t="shared" si="4"/>
        <v>84.84</v>
      </c>
      <c r="AJ73" s="58">
        <f>'diesel used'!AH73</f>
        <v>0</v>
      </c>
      <c r="AK73" s="58">
        <f>'diesel used'!AI73</f>
        <v>0</v>
      </c>
      <c r="AL73" s="63" t="str">
        <f t="shared" si="5"/>
        <v>X</v>
      </c>
    </row>
    <row r="74" spans="1:38">
      <c r="A74" s="57">
        <f>'diesel used'!A74</f>
        <v>13</v>
      </c>
      <c r="B74" s="57" t="s">
        <v>114</v>
      </c>
      <c r="C74" t="str">
        <f>'diesel used'!B74</f>
        <v>OCGMP(only Frz &amp; Chi)night only</v>
      </c>
      <c r="D74" t="str">
        <f>'diesel used'!C74</f>
        <v>LNG</v>
      </c>
      <c r="H74" s="58">
        <f>'diesel used'!F74</f>
        <v>150</v>
      </c>
      <c r="K74" s="58">
        <f>'diesel used'!I74</f>
        <v>0.5</v>
      </c>
      <c r="L74" s="58">
        <f>'diesel used'!J74</f>
        <v>677</v>
      </c>
      <c r="M74" s="63">
        <f t="shared" si="0"/>
        <v>1354</v>
      </c>
      <c r="P74" s="58">
        <f>'diesel used'!N74</f>
        <v>0.5</v>
      </c>
      <c r="Q74" s="58">
        <f>'diesel used'!O74</f>
        <v>677</v>
      </c>
      <c r="R74" s="63">
        <f t="shared" si="1"/>
        <v>1354</v>
      </c>
      <c r="U74" s="58">
        <f>'diesel used'!S74</f>
        <v>0.5</v>
      </c>
      <c r="V74" s="58">
        <f>'diesel used'!T74</f>
        <v>677</v>
      </c>
      <c r="W74" s="63">
        <f t="shared" si="2"/>
        <v>1354</v>
      </c>
      <c r="Z74" s="58">
        <f>'diesel used'!X74</f>
        <v>1</v>
      </c>
      <c r="AA74" s="58">
        <f>'diesel used'!Y74</f>
        <v>677</v>
      </c>
      <c r="AB74" s="63">
        <f t="shared" si="3"/>
        <v>677</v>
      </c>
      <c r="AE74" s="58">
        <f>'diesel used'!AC74</f>
        <v>20</v>
      </c>
      <c r="AF74" s="58">
        <f>'diesel used'!AD74</f>
        <v>677</v>
      </c>
      <c r="AG74" s="63">
        <f t="shared" si="4"/>
        <v>33.85</v>
      </c>
      <c r="AJ74" s="58">
        <f>'diesel used'!AH74</f>
        <v>0</v>
      </c>
      <c r="AK74" s="58">
        <f>'diesel used'!AI74</f>
        <v>0</v>
      </c>
      <c r="AL74" s="63" t="str">
        <f t="shared" si="5"/>
        <v>X</v>
      </c>
    </row>
    <row r="75" spans="1:38">
      <c r="A75" s="57">
        <f>'diesel used'!A75</f>
        <v>14</v>
      </c>
      <c r="B75" s="57" t="s">
        <v>114</v>
      </c>
      <c r="C75" t="str">
        <f>'diesel used'!B75</f>
        <v>MNC38Q</v>
      </c>
      <c r="D75">
        <f>'diesel used'!C75</f>
        <v>0</v>
      </c>
      <c r="H75" s="58">
        <f>'diesel used'!F75</f>
        <v>60</v>
      </c>
      <c r="K75" s="58">
        <f>'diesel used'!I75</f>
        <v>30</v>
      </c>
      <c r="L75" s="58">
        <f>'diesel used'!J75</f>
        <v>1369</v>
      </c>
      <c r="M75" s="63">
        <f t="shared" si="0"/>
        <v>45.633333333333333</v>
      </c>
      <c r="P75" s="58">
        <f>'diesel used'!N75</f>
        <v>7</v>
      </c>
      <c r="Q75" s="58">
        <f>'diesel used'!O75</f>
        <v>1369</v>
      </c>
      <c r="R75" s="63">
        <f t="shared" si="1"/>
        <v>195.57142857142858</v>
      </c>
      <c r="U75" s="58">
        <f>'diesel used'!S75</f>
        <v>56</v>
      </c>
      <c r="V75" s="58">
        <f>'diesel used'!T75</f>
        <v>1260</v>
      </c>
      <c r="W75" s="63">
        <f t="shared" si="2"/>
        <v>22.5</v>
      </c>
      <c r="Z75" s="58">
        <f>'diesel used'!X75</f>
        <v>122</v>
      </c>
      <c r="AA75" s="58">
        <f>'diesel used'!Y75</f>
        <v>1482</v>
      </c>
      <c r="AB75" s="63">
        <f t="shared" si="3"/>
        <v>12.147540983606557</v>
      </c>
      <c r="AE75" s="58">
        <f>'diesel used'!AC75</f>
        <v>53.6</v>
      </c>
      <c r="AF75" s="58">
        <f>'diesel used'!AD75</f>
        <v>1419</v>
      </c>
      <c r="AG75" s="63">
        <f t="shared" si="4"/>
        <v>26.473880597014926</v>
      </c>
      <c r="AJ75" s="58">
        <f>'diesel used'!AH75</f>
        <v>0</v>
      </c>
      <c r="AK75" s="58">
        <f>'diesel used'!AI75</f>
        <v>0</v>
      </c>
      <c r="AL75" s="63" t="str">
        <f t="shared" si="5"/>
        <v>X</v>
      </c>
    </row>
    <row r="76" spans="1:38">
      <c r="A76" s="57">
        <f>'diesel used'!A76</f>
        <v>15</v>
      </c>
      <c r="B76" s="57" t="s">
        <v>114</v>
      </c>
      <c r="C76" t="str">
        <f>'diesel used'!B76</f>
        <v>MNCNOTDN</v>
      </c>
      <c r="D76">
        <f>'diesel used'!C76</f>
        <v>0</v>
      </c>
      <c r="H76" s="58">
        <f>'diesel used'!F76</f>
        <v>60</v>
      </c>
      <c r="K76" s="58">
        <f>'diesel used'!I76</f>
        <v>36</v>
      </c>
      <c r="L76" s="58">
        <f>'diesel used'!J76</f>
        <v>1260</v>
      </c>
      <c r="M76" s="63">
        <f t="shared" si="0"/>
        <v>35</v>
      </c>
      <c r="P76" s="58">
        <f>'diesel used'!N76</f>
        <v>14</v>
      </c>
      <c r="Q76" s="58">
        <f>'diesel used'!O76</f>
        <v>1246</v>
      </c>
      <c r="R76" s="63">
        <f t="shared" si="1"/>
        <v>89</v>
      </c>
      <c r="U76" s="58">
        <f>'diesel used'!S76</f>
        <v>9</v>
      </c>
      <c r="V76" s="58">
        <f>'diesel used'!T76</f>
        <v>1237.5</v>
      </c>
      <c r="W76" s="63">
        <f t="shared" si="2"/>
        <v>137.5</v>
      </c>
      <c r="Z76" s="58">
        <f>'diesel used'!X76</f>
        <v>67.5</v>
      </c>
      <c r="AA76" s="58">
        <f>'diesel used'!Y76</f>
        <v>1386</v>
      </c>
      <c r="AB76" s="63">
        <f t="shared" si="3"/>
        <v>20.533333333333335</v>
      </c>
      <c r="AE76" s="58">
        <f>'diesel used'!AC76</f>
        <v>18</v>
      </c>
      <c r="AF76" s="58">
        <f>'diesel used'!AD76</f>
        <v>1368</v>
      </c>
      <c r="AG76" s="63">
        <f t="shared" si="4"/>
        <v>76</v>
      </c>
      <c r="AJ76" s="58">
        <f>'diesel used'!AH76</f>
        <v>0</v>
      </c>
      <c r="AK76" s="58">
        <f>'diesel used'!AI76</f>
        <v>0</v>
      </c>
      <c r="AL76" s="63" t="str">
        <f t="shared" si="5"/>
        <v>X</v>
      </c>
    </row>
    <row r="77" spans="1:38">
      <c r="A77" s="57">
        <f>'diesel used'!A77</f>
        <v>16</v>
      </c>
      <c r="B77" s="57" t="s">
        <v>114</v>
      </c>
      <c r="C77" t="str">
        <f>'diesel used'!B77</f>
        <v>MNC0'Mile</v>
      </c>
      <c r="D77">
        <f>'diesel used'!C77</f>
        <v>0</v>
      </c>
      <c r="H77" s="58">
        <f>'diesel used'!F77</f>
        <v>80</v>
      </c>
      <c r="K77" s="58">
        <f>'diesel used'!I77</f>
        <v>55</v>
      </c>
      <c r="L77" s="58">
        <f>'diesel used'!J77</f>
        <v>949</v>
      </c>
      <c r="M77" s="63">
        <f t="shared" si="0"/>
        <v>17.254545454545454</v>
      </c>
      <c r="P77" s="58">
        <f>'diesel used'!N77</f>
        <v>55</v>
      </c>
      <c r="Q77" s="58">
        <f>'diesel used'!O77</f>
        <v>935</v>
      </c>
      <c r="R77" s="63">
        <f t="shared" si="1"/>
        <v>17</v>
      </c>
      <c r="U77" s="58">
        <f>'diesel used'!S77</f>
        <v>51</v>
      </c>
      <c r="V77" s="58">
        <f>'diesel used'!T77</f>
        <v>906</v>
      </c>
      <c r="W77" s="63">
        <f t="shared" si="2"/>
        <v>17.764705882352942</v>
      </c>
      <c r="Z77" s="58">
        <f>'diesel used'!X77</f>
        <v>38</v>
      </c>
      <c r="AA77" s="58">
        <f>'diesel used'!Y77</f>
        <v>871</v>
      </c>
      <c r="AB77" s="63">
        <f t="shared" si="3"/>
        <v>22.921052631578949</v>
      </c>
      <c r="AE77" s="58">
        <f>'diesel used'!AC77</f>
        <v>27</v>
      </c>
      <c r="AF77" s="58">
        <f>'diesel used'!AD77</f>
        <v>844</v>
      </c>
      <c r="AG77" s="63">
        <f t="shared" si="4"/>
        <v>31.25925925925926</v>
      </c>
      <c r="AJ77" s="58">
        <f>'diesel used'!AH77</f>
        <v>0</v>
      </c>
      <c r="AK77" s="58">
        <f>'diesel used'!AI77</f>
        <v>0</v>
      </c>
      <c r="AL77" s="63" t="str">
        <f t="shared" si="5"/>
        <v>X</v>
      </c>
    </row>
    <row r="78" spans="1:38">
      <c r="A78" s="57">
        <f>'diesel used'!A78</f>
        <v>17</v>
      </c>
      <c r="B78" s="57" t="s">
        <v>114</v>
      </c>
      <c r="C78" t="str">
        <f>'diesel used'!B78</f>
        <v>MNCSMK</v>
      </c>
      <c r="D78">
        <f>'diesel used'!C78</f>
        <v>0</v>
      </c>
      <c r="H78" s="58">
        <f>'diesel used'!F78</f>
        <v>60</v>
      </c>
      <c r="K78" s="58">
        <f>'diesel used'!I78</f>
        <v>36</v>
      </c>
      <c r="L78" s="58">
        <f>'diesel used'!J78</f>
        <v>1180</v>
      </c>
      <c r="M78" s="63">
        <f t="shared" si="0"/>
        <v>32.777777777777779</v>
      </c>
      <c r="P78" s="58">
        <f>'diesel used'!N78</f>
        <v>45</v>
      </c>
      <c r="Q78" s="58">
        <f>'diesel used'!O78</f>
        <v>1135</v>
      </c>
      <c r="R78" s="63">
        <f t="shared" si="1"/>
        <v>25.222222222222221</v>
      </c>
      <c r="U78" s="58">
        <f>'diesel used'!S78</f>
        <v>0</v>
      </c>
      <c r="V78" s="58">
        <f>'diesel used'!T78</f>
        <v>1453</v>
      </c>
      <c r="W78" s="63" t="str">
        <f t="shared" si="2"/>
        <v>X</v>
      </c>
      <c r="Z78" s="58">
        <f>'diesel used'!X78</f>
        <v>91</v>
      </c>
      <c r="AA78" s="58">
        <f>'diesel used'!Y78</f>
        <v>1362</v>
      </c>
      <c r="AB78" s="63">
        <f t="shared" si="3"/>
        <v>14.967032967032967</v>
      </c>
      <c r="AE78" s="58">
        <f>'diesel used'!AC78</f>
        <v>46</v>
      </c>
      <c r="AF78" s="58">
        <f>'diesel used'!AD78</f>
        <v>1316</v>
      </c>
      <c r="AG78" s="63">
        <f t="shared" si="4"/>
        <v>28.608695652173914</v>
      </c>
      <c r="AJ78" s="58">
        <f>'diesel used'!AH78</f>
        <v>0</v>
      </c>
      <c r="AK78" s="58">
        <f>'diesel used'!AI78</f>
        <v>0</v>
      </c>
      <c r="AL78" s="63" t="str">
        <f t="shared" si="5"/>
        <v>X</v>
      </c>
    </row>
    <row r="79" spans="1:38">
      <c r="A79" s="57">
        <f>'diesel used'!A79</f>
        <v>18</v>
      </c>
      <c r="B79" s="57" t="s">
        <v>114</v>
      </c>
      <c r="C79" t="str">
        <f>'diesel used'!B79</f>
        <v>MNCTTMSO</v>
      </c>
      <c r="D79">
        <f>'diesel used'!C79</f>
        <v>0</v>
      </c>
      <c r="H79" s="58">
        <f>'diesel used'!F79</f>
        <v>80</v>
      </c>
      <c r="K79" s="58">
        <f>'diesel used'!I79</f>
        <v>51</v>
      </c>
      <c r="L79" s="58">
        <f>'diesel used'!J79</f>
        <v>703</v>
      </c>
      <c r="M79" s="63">
        <f t="shared" si="0"/>
        <v>13.784313725490197</v>
      </c>
      <c r="P79" s="58">
        <f>'diesel used'!N79</f>
        <v>58</v>
      </c>
      <c r="Q79" s="58">
        <f>'diesel used'!O79</f>
        <v>625</v>
      </c>
      <c r="R79" s="63">
        <f t="shared" si="1"/>
        <v>10.775862068965518</v>
      </c>
      <c r="U79" s="58">
        <f>'diesel used'!S79</f>
        <v>35</v>
      </c>
      <c r="V79" s="58">
        <f>'diesel used'!T79</f>
        <v>590</v>
      </c>
      <c r="W79" s="63">
        <f t="shared" si="2"/>
        <v>16.857142857142858</v>
      </c>
      <c r="Z79" s="58">
        <f>'diesel used'!X79</f>
        <v>0</v>
      </c>
      <c r="AA79" s="58">
        <f>'diesel used'!Y79</f>
        <v>590</v>
      </c>
      <c r="AB79" s="63" t="str">
        <f t="shared" si="3"/>
        <v>X</v>
      </c>
      <c r="AE79" s="58">
        <f>'diesel used'!AC79</f>
        <v>25</v>
      </c>
      <c r="AF79" s="58">
        <f>'diesel used'!AD79</f>
        <v>813</v>
      </c>
      <c r="AG79" s="63">
        <f t="shared" si="4"/>
        <v>32.520000000000003</v>
      </c>
      <c r="AJ79" s="58">
        <f>'diesel used'!AH79</f>
        <v>0</v>
      </c>
      <c r="AK79" s="58">
        <f>'diesel used'!AI79</f>
        <v>0</v>
      </c>
      <c r="AL79" s="63" t="str">
        <f t="shared" si="5"/>
        <v>X</v>
      </c>
    </row>
    <row r="80" spans="1:38">
      <c r="A80" s="57">
        <f>'diesel used'!A80</f>
        <v>19</v>
      </c>
      <c r="B80" s="57" t="s">
        <v>114</v>
      </c>
      <c r="C80" t="str">
        <f>'diesel used'!B80</f>
        <v>MNC41Q</v>
      </c>
      <c r="D80">
        <f>'diesel used'!C80</f>
        <v>0</v>
      </c>
      <c r="H80" s="58">
        <f>'diesel used'!F80</f>
        <v>100</v>
      </c>
      <c r="K80" s="58">
        <f>'diesel used'!I80</f>
        <v>116</v>
      </c>
      <c r="L80" s="58">
        <f>'diesel used'!J80</f>
        <v>1357</v>
      </c>
      <c r="M80" s="63">
        <f t="shared" si="0"/>
        <v>11.698275862068966</v>
      </c>
      <c r="P80" s="58">
        <f>'diesel used'!N80</f>
        <v>25</v>
      </c>
      <c r="Q80" s="58">
        <f>'diesel used'!O80</f>
        <v>1332</v>
      </c>
      <c r="R80" s="63">
        <f t="shared" si="1"/>
        <v>53.28</v>
      </c>
      <c r="U80" s="58">
        <f>'diesel used'!S80</f>
        <v>64</v>
      </c>
      <c r="V80" s="58">
        <f>'diesel used'!T80</f>
        <v>1268</v>
      </c>
      <c r="W80" s="63">
        <f t="shared" si="2"/>
        <v>19.8125</v>
      </c>
      <c r="Z80" s="58">
        <f>'diesel used'!X80</f>
        <v>89</v>
      </c>
      <c r="AA80" s="58">
        <f>'diesel used'!Y80</f>
        <v>1179</v>
      </c>
      <c r="AB80" s="63">
        <f t="shared" si="3"/>
        <v>13.247191011235955</v>
      </c>
      <c r="AE80" s="58">
        <f>'diesel used'!AC80</f>
        <v>80</v>
      </c>
      <c r="AF80" s="58">
        <f>'diesel used'!AD80</f>
        <v>1099</v>
      </c>
      <c r="AG80" s="63">
        <f t="shared" si="4"/>
        <v>13.737500000000001</v>
      </c>
      <c r="AJ80" s="58">
        <f>'diesel used'!AH80</f>
        <v>0</v>
      </c>
      <c r="AK80" s="58">
        <f>'diesel used'!AI80</f>
        <v>0</v>
      </c>
      <c r="AL80" s="63" t="str">
        <f t="shared" si="5"/>
        <v>X</v>
      </c>
    </row>
    <row r="81" spans="1:38">
      <c r="A81" s="57">
        <f>'diesel used'!A81</f>
        <v>20</v>
      </c>
      <c r="B81" s="57" t="s">
        <v>114</v>
      </c>
      <c r="C81" t="str">
        <f>'diesel used'!B81</f>
        <v>MNCBBH</v>
      </c>
      <c r="D81">
        <f>'diesel used'!C81</f>
        <v>0</v>
      </c>
      <c r="H81" s="58">
        <f>'diesel used'!F81</f>
        <v>150</v>
      </c>
      <c r="K81" s="58">
        <f>'diesel used'!I81</f>
        <v>50</v>
      </c>
      <c r="L81" s="58">
        <f>'diesel used'!J81</f>
        <v>0</v>
      </c>
      <c r="M81" s="63">
        <f t="shared" si="0"/>
        <v>0</v>
      </c>
      <c r="P81" s="58">
        <f>'diesel used'!N81</f>
        <v>30</v>
      </c>
      <c r="Q81" s="58">
        <f>'diesel used'!O81</f>
        <v>1090</v>
      </c>
      <c r="R81" s="63">
        <f t="shared" si="1"/>
        <v>36.333333333333336</v>
      </c>
      <c r="U81" s="58">
        <f>'diesel used'!S81</f>
        <v>80</v>
      </c>
      <c r="V81" s="58">
        <f>'diesel used'!T81</f>
        <v>1010</v>
      </c>
      <c r="W81" s="63">
        <f t="shared" si="2"/>
        <v>12.625</v>
      </c>
      <c r="Z81" s="58">
        <f>'diesel used'!X81</f>
        <v>118</v>
      </c>
      <c r="AA81" s="58">
        <f>'diesel used'!Y81</f>
        <v>892</v>
      </c>
      <c r="AB81" s="63">
        <f t="shared" si="3"/>
        <v>7.5593220338983054</v>
      </c>
      <c r="AE81" s="58">
        <f>'diesel used'!AC81</f>
        <v>63</v>
      </c>
      <c r="AF81" s="58">
        <f>'diesel used'!AD81</f>
        <v>1047</v>
      </c>
      <c r="AG81" s="63">
        <f t="shared" si="4"/>
        <v>16.61904761904762</v>
      </c>
      <c r="AJ81" s="58">
        <f>'diesel used'!AH81</f>
        <v>0</v>
      </c>
      <c r="AK81" s="58">
        <f>'diesel used'!AI81</f>
        <v>0</v>
      </c>
      <c r="AL81" s="63" t="str">
        <f t="shared" si="5"/>
        <v>X</v>
      </c>
    </row>
    <row r="82" spans="1:38">
      <c r="A82" s="57">
        <f>'diesel used'!A82</f>
        <v>21</v>
      </c>
      <c r="B82" s="57" t="s">
        <v>114</v>
      </c>
      <c r="C82" t="str">
        <f>'diesel used'!B82</f>
        <v>MNCPRM</v>
      </c>
      <c r="D82">
        <f>'diesel used'!C82</f>
        <v>0</v>
      </c>
      <c r="H82" s="58">
        <f>'diesel used'!F82</f>
        <v>100</v>
      </c>
      <c r="K82" s="58">
        <f>'diesel used'!I82</f>
        <v>0</v>
      </c>
      <c r="L82" s="58">
        <f>'diesel used'!J82</f>
        <v>1278</v>
      </c>
      <c r="M82" s="63" t="str">
        <f t="shared" si="0"/>
        <v>X</v>
      </c>
      <c r="P82" s="58">
        <f>'diesel used'!N82</f>
        <v>15</v>
      </c>
      <c r="Q82" s="58">
        <f>'diesel used'!O82</f>
        <v>1263</v>
      </c>
      <c r="R82" s="63">
        <f t="shared" si="1"/>
        <v>84.2</v>
      </c>
      <c r="U82" s="58">
        <f>'diesel used'!S82</f>
        <v>0</v>
      </c>
      <c r="V82" s="58">
        <f>'diesel used'!T82</f>
        <v>1263</v>
      </c>
      <c r="W82" s="63" t="str">
        <f t="shared" si="2"/>
        <v>X</v>
      </c>
      <c r="Z82" s="58">
        <f>'diesel used'!X82</f>
        <v>18</v>
      </c>
      <c r="AA82" s="58">
        <f>'diesel used'!Y82</f>
        <v>1245</v>
      </c>
      <c r="AB82" s="63">
        <f t="shared" si="3"/>
        <v>69.166666666666671</v>
      </c>
      <c r="AE82" s="58">
        <f>'diesel used'!AC82</f>
        <v>0</v>
      </c>
      <c r="AF82" s="58">
        <f>'diesel used'!AD82</f>
        <v>1245</v>
      </c>
      <c r="AG82" s="63" t="str">
        <f t="shared" si="4"/>
        <v>X</v>
      </c>
      <c r="AJ82" s="58">
        <f>'diesel used'!AH82</f>
        <v>0</v>
      </c>
      <c r="AK82" s="58">
        <f>'diesel used'!AI82</f>
        <v>0</v>
      </c>
      <c r="AL82" s="63" t="str">
        <f t="shared" si="5"/>
        <v>X</v>
      </c>
    </row>
    <row r="83" spans="1:38">
      <c r="A83" s="57">
        <f>'diesel used'!A83</f>
        <v>22</v>
      </c>
      <c r="B83" s="57" t="s">
        <v>114</v>
      </c>
      <c r="C83" t="str">
        <f>'diesel used'!B83</f>
        <v>MNCLT</v>
      </c>
      <c r="D83">
        <f>'diesel used'!C83</f>
        <v>0</v>
      </c>
      <c r="H83" s="58">
        <f>'diesel used'!F83</f>
        <v>100</v>
      </c>
      <c r="K83" s="58">
        <f>'diesel used'!I83</f>
        <v>242</v>
      </c>
      <c r="L83" s="58">
        <f>'diesel used'!J83</f>
        <v>197</v>
      </c>
      <c r="M83" s="86">
        <f t="shared" si="0"/>
        <v>0.81404958677685946</v>
      </c>
      <c r="P83" s="58">
        <f>'diesel used'!N83</f>
        <v>60</v>
      </c>
      <c r="Q83" s="58">
        <f>'diesel used'!O83</f>
        <v>117</v>
      </c>
      <c r="R83" s="86">
        <f t="shared" si="1"/>
        <v>1.95</v>
      </c>
      <c r="U83" s="58">
        <f>'diesel used'!S83</f>
        <v>88</v>
      </c>
      <c r="V83" s="58">
        <f>'diesel used'!T83</f>
        <v>147</v>
      </c>
      <c r="W83" s="86">
        <f t="shared" si="2"/>
        <v>1.6704545454545454</v>
      </c>
      <c r="Z83" s="58">
        <f>'diesel used'!X83</f>
        <v>144</v>
      </c>
      <c r="AA83" s="58">
        <f>'diesel used'!Y83</f>
        <v>247</v>
      </c>
      <c r="AB83" s="86">
        <f t="shared" si="3"/>
        <v>1.7152777777777777</v>
      </c>
      <c r="AE83" s="58">
        <f>'diesel used'!AC83</f>
        <v>100</v>
      </c>
      <c r="AF83" s="58">
        <f>'diesel used'!AD83</f>
        <v>221</v>
      </c>
      <c r="AG83" s="86">
        <f t="shared" si="4"/>
        <v>2.21</v>
      </c>
      <c r="AJ83" s="58">
        <f>'diesel used'!AH83</f>
        <v>0</v>
      </c>
      <c r="AK83" s="58">
        <f>'diesel used'!AI83</f>
        <v>0</v>
      </c>
      <c r="AL83" s="86" t="str">
        <f t="shared" si="5"/>
        <v>X</v>
      </c>
    </row>
    <row r="84" spans="1:38">
      <c r="A84" s="57"/>
      <c r="B84" s="57"/>
      <c r="H84" s="58"/>
      <c r="K84" s="58"/>
      <c r="L84" s="58"/>
      <c r="P84" s="58"/>
      <c r="Q84" s="58"/>
      <c r="R84" s="63"/>
      <c r="U84" s="58"/>
      <c r="V84" s="58"/>
      <c r="W84" s="63"/>
      <c r="Z84" s="58"/>
      <c r="AA84" s="58"/>
      <c r="AB84" s="63"/>
      <c r="AE84" s="58"/>
      <c r="AF84" s="58"/>
      <c r="AG84" s="63"/>
      <c r="AJ84" s="58"/>
      <c r="AK84" s="58"/>
      <c r="AL84" s="63"/>
    </row>
    <row r="85" spans="1:38">
      <c r="A85" s="57"/>
      <c r="B85" s="57"/>
      <c r="H85" s="58"/>
      <c r="K85" s="58"/>
      <c r="L85" s="58"/>
      <c r="P85" s="58"/>
      <c r="Q85" s="58"/>
      <c r="R85" s="63"/>
      <c r="U85" s="58"/>
      <c r="V85" s="58"/>
      <c r="W85" s="63"/>
      <c r="Z85" s="58"/>
      <c r="AA85" s="58"/>
      <c r="AB85" s="63"/>
      <c r="AE85" s="58"/>
      <c r="AF85" s="58"/>
      <c r="AG85" s="63"/>
      <c r="AJ85" s="58"/>
      <c r="AK85" s="58"/>
      <c r="AL85" s="63"/>
    </row>
    <row r="86" spans="1:38">
      <c r="A86" s="57"/>
      <c r="B86" s="57"/>
      <c r="H86" s="58"/>
      <c r="K86" s="58"/>
      <c r="L86" s="58"/>
      <c r="P86" s="58"/>
      <c r="Q86" s="58"/>
      <c r="R86" s="63"/>
      <c r="U86" s="58"/>
      <c r="V86" s="58"/>
      <c r="W86" s="63"/>
      <c r="Z86" s="58"/>
      <c r="AA86" s="58"/>
      <c r="AB86" s="63"/>
      <c r="AE86" s="58"/>
      <c r="AF86" s="58"/>
      <c r="AG86" s="63"/>
      <c r="AJ86" s="58"/>
      <c r="AK86" s="58"/>
      <c r="AL86" s="63"/>
    </row>
    <row r="87" spans="1:38">
      <c r="A87" s="57">
        <f>'diesel used'!A87</f>
        <v>23</v>
      </c>
      <c r="B87" s="57" t="s">
        <v>114</v>
      </c>
      <c r="C87" t="str">
        <f>'diesel used'!B87</f>
        <v>DC09</v>
      </c>
      <c r="D87" t="str">
        <f>'diesel used'!C87</f>
        <v>Regular</v>
      </c>
      <c r="H87" s="58">
        <f>'diesel used'!F87</f>
        <v>350</v>
      </c>
      <c r="K87" s="58">
        <f>'diesel used'!I87+'diesel used'!I88</f>
        <v>25</v>
      </c>
      <c r="L87" s="58">
        <f>'diesel used'!J87</f>
        <v>1000</v>
      </c>
      <c r="M87" s="63">
        <f>IFERROR(L87/K87, "X")</f>
        <v>40</v>
      </c>
      <c r="P87" s="58">
        <f>'diesel used'!N87+'diesel used'!N88</f>
        <v>127</v>
      </c>
      <c r="Q87" s="58">
        <f>'diesel used'!O87</f>
        <v>1000</v>
      </c>
      <c r="R87" s="63">
        <f>IFERROR(Q87/P87, "X")</f>
        <v>7.8740157480314963</v>
      </c>
      <c r="U87" s="58">
        <f>'diesel used'!S87+'diesel used'!S88</f>
        <v>0</v>
      </c>
      <c r="V87" s="58">
        <f>'diesel used'!T87</f>
        <v>0</v>
      </c>
      <c r="W87" s="63" t="str">
        <f>IFERROR(V87/U87, "X")</f>
        <v>X</v>
      </c>
      <c r="Z87" s="58">
        <f>'diesel used'!X87+'diesel used'!X88</f>
        <v>0</v>
      </c>
      <c r="AA87" s="58">
        <f>'diesel used'!Y87</f>
        <v>0</v>
      </c>
      <c r="AB87" s="63" t="str">
        <f>IFERROR(AA87/Z87, "X")</f>
        <v>X</v>
      </c>
      <c r="AE87" s="58">
        <f>'diesel used'!AC87+'diesel used'!AC88</f>
        <v>0</v>
      </c>
      <c r="AF87" s="58">
        <f>'diesel used'!AD87</f>
        <v>0</v>
      </c>
      <c r="AG87" s="63" t="str">
        <f>IFERROR(AF87/AE87, "X")</f>
        <v>X</v>
      </c>
      <c r="AJ87" s="58">
        <f>'diesel used'!AH87+'diesel used'!AH88</f>
        <v>0</v>
      </c>
      <c r="AK87" s="58">
        <f>'diesel used'!AI87</f>
        <v>0</v>
      </c>
      <c r="AL87" s="63" t="str">
        <f>IFERROR(AK87/AJ87, "X")</f>
        <v>X</v>
      </c>
    </row>
    <row r="88" spans="1:38">
      <c r="A88" s="57">
        <f>'diesel used'!A88</f>
        <v>24</v>
      </c>
      <c r="B88" s="57" t="s">
        <v>114</v>
      </c>
      <c r="C88" t="str">
        <f>'diesel used'!B88</f>
        <v>DC09</v>
      </c>
      <c r="D88">
        <f>'diesel used'!C88</f>
        <v>0</v>
      </c>
      <c r="H88" s="58">
        <f>'diesel used'!F88</f>
        <v>165</v>
      </c>
      <c r="K88" s="58"/>
      <c r="L88" s="58"/>
      <c r="M88" s="63" t="str">
        <f t="shared" si="0"/>
        <v>X</v>
      </c>
      <c r="P88" s="58"/>
      <c r="Q88" s="58"/>
      <c r="R88" s="63" t="str">
        <f t="shared" ref="R88" si="6">IFERROR(Q88/P88, "X")</f>
        <v>X</v>
      </c>
      <c r="U88" s="58"/>
      <c r="V88" s="58"/>
      <c r="W88" s="63" t="str">
        <f t="shared" ref="W88" si="7">IFERROR(V88/U88, "X")</f>
        <v>X</v>
      </c>
      <c r="Z88" s="58"/>
      <c r="AA88" s="58"/>
      <c r="AB88" s="63" t="str">
        <f t="shared" ref="AB88" si="8">IFERROR(AA88/Z88, "X")</f>
        <v>X</v>
      </c>
      <c r="AE88" s="58"/>
      <c r="AF88" s="58"/>
      <c r="AG88" s="63" t="str">
        <f t="shared" ref="AG88" si="9">IFERROR(AF88/AE88, "X")</f>
        <v>X</v>
      </c>
      <c r="AJ88" s="58"/>
      <c r="AK88" s="58"/>
      <c r="AL88" s="63" t="str">
        <f t="shared" ref="AL88" si="10">IFERROR(AK88/AJ88, "X")</f>
        <v>X</v>
      </c>
    </row>
    <row r="89" spans="1:38">
      <c r="A89" s="57">
        <f>'diesel used'!A89</f>
        <v>25</v>
      </c>
      <c r="B89" s="57" t="s">
        <v>114</v>
      </c>
      <c r="C89" t="str">
        <f>'diesel used'!B89</f>
        <v>DC02 F&amp;P</v>
      </c>
      <c r="D89" t="str">
        <f>'diesel used'!C89</f>
        <v>Regular</v>
      </c>
      <c r="H89" s="58">
        <f>'diesel used'!F89</f>
        <v>550</v>
      </c>
      <c r="K89" s="58">
        <f>'diesel used'!I89+'diesel used'!I90</f>
        <v>9</v>
      </c>
      <c r="L89" s="58">
        <f>'diesel used'!J89</f>
        <v>3409</v>
      </c>
      <c r="M89" s="63">
        <f>IFERROR(L89/K89, "X")</f>
        <v>378.77777777777777</v>
      </c>
      <c r="P89" s="58">
        <f>'diesel used'!N89+'diesel used'!N90</f>
        <v>192</v>
      </c>
      <c r="Q89" s="58">
        <f>'diesel used'!O89</f>
        <v>3409</v>
      </c>
      <c r="R89" s="63">
        <f>IFERROR(Q89/P89, "X")</f>
        <v>17.755208333333332</v>
      </c>
      <c r="U89" s="58">
        <f>'diesel used'!S89+'diesel used'!S90</f>
        <v>145</v>
      </c>
      <c r="V89" s="58">
        <f>'diesel used'!T89</f>
        <v>3182</v>
      </c>
      <c r="W89" s="63">
        <f>IFERROR(V89/U89, "X")</f>
        <v>21.944827586206898</v>
      </c>
      <c r="Z89" s="58">
        <f>'diesel used'!X89+'diesel used'!X90</f>
        <v>297</v>
      </c>
      <c r="AA89" s="58">
        <f>'diesel used'!Y89</f>
        <v>3273</v>
      </c>
      <c r="AB89" s="63">
        <f>IFERROR(AA89/Z89, "X")</f>
        <v>11.020202020202021</v>
      </c>
      <c r="AE89" s="58">
        <f>'diesel used'!AC89+'diesel used'!AC90</f>
        <v>278</v>
      </c>
      <c r="AF89" s="58">
        <f>'diesel used'!AD89</f>
        <v>2864</v>
      </c>
      <c r="AG89" s="63">
        <f>IFERROR(AF89/AE89, "X")</f>
        <v>10.302158273381295</v>
      </c>
      <c r="AJ89" s="58">
        <f>'diesel used'!AH89+'diesel used'!AH90</f>
        <v>0</v>
      </c>
      <c r="AK89" s="58">
        <f>'diesel used'!AI89</f>
        <v>0</v>
      </c>
      <c r="AL89" s="63" t="str">
        <f>IFERROR(AK89/AJ89, "X")</f>
        <v>X</v>
      </c>
    </row>
    <row r="90" spans="1:38">
      <c r="A90" s="57">
        <f>'diesel used'!A90</f>
        <v>26</v>
      </c>
      <c r="B90" s="57" t="s">
        <v>114</v>
      </c>
      <c r="C90" t="str">
        <f>'diesel used'!B90</f>
        <v>DC02 F&amp;P</v>
      </c>
      <c r="D90" t="str">
        <f>'diesel used'!C90</f>
        <v>Regular</v>
      </c>
      <c r="H90" s="58">
        <f>'diesel used'!F90</f>
        <v>220</v>
      </c>
      <c r="K90" s="58"/>
      <c r="L90" s="58"/>
      <c r="M90" s="63" t="str">
        <f t="shared" si="0"/>
        <v>X</v>
      </c>
      <c r="P90" s="58"/>
      <c r="Q90" s="58"/>
      <c r="R90" s="63" t="str">
        <f t="shared" ref="R90" si="11">IFERROR(Q90/P90, "X")</f>
        <v>X</v>
      </c>
      <c r="U90" s="58"/>
      <c r="V90" s="58"/>
      <c r="W90" s="63" t="str">
        <f t="shared" ref="W90" si="12">IFERROR(V90/U90, "X")</f>
        <v>X</v>
      </c>
      <c r="Z90" s="58"/>
      <c r="AA90" s="58"/>
      <c r="AB90" s="63" t="str">
        <f t="shared" ref="AB90" si="13">IFERROR(AA90/Z90, "X")</f>
        <v>X</v>
      </c>
      <c r="AE90" s="58"/>
      <c r="AF90" s="58"/>
      <c r="AG90" s="63" t="str">
        <f t="shared" ref="AG90" si="14">IFERROR(AF90/AE90, "X")</f>
        <v>X</v>
      </c>
      <c r="AJ90" s="58"/>
      <c r="AK90" s="58"/>
      <c r="AL90" s="63" t="str">
        <f t="shared" ref="AL90" si="15">IFERROR(AK90/AJ90, "X")</f>
        <v>X</v>
      </c>
    </row>
    <row r="91" spans="1:38">
      <c r="A91" s="57">
        <f>'diesel used'!A91</f>
        <v>27</v>
      </c>
      <c r="B91" s="57" t="s">
        <v>114</v>
      </c>
      <c r="C91" t="str">
        <f>'diesel used'!B91</f>
        <v>DC02 F&amp;P(KSS)</v>
      </c>
      <c r="D91">
        <f>'diesel used'!C91</f>
        <v>0</v>
      </c>
      <c r="H91" s="58">
        <f>'diesel used'!F91</f>
        <v>550</v>
      </c>
      <c r="K91" s="58">
        <f>'diesel used'!I91+'diesel used'!I92</f>
        <v>22.73</v>
      </c>
      <c r="L91" s="58">
        <f>'diesel used'!J91</f>
        <v>16209.338</v>
      </c>
      <c r="M91" s="63">
        <f>IFERROR(L91/K91, "X")</f>
        <v>713.12529696436422</v>
      </c>
      <c r="P91" s="58">
        <f>'diesel used'!N91+'diesel used'!N92</f>
        <v>0</v>
      </c>
      <c r="Q91" s="58">
        <f>'diesel used'!O91</f>
        <v>16209.338</v>
      </c>
      <c r="R91" s="63" t="str">
        <f>IFERROR(Q91/P91, "X")</f>
        <v>X</v>
      </c>
      <c r="U91" s="58">
        <f>'diesel used'!S91+'diesel used'!S92</f>
        <v>0</v>
      </c>
      <c r="V91" s="58">
        <f>'diesel used'!T91</f>
        <v>16209</v>
      </c>
      <c r="W91" s="63" t="str">
        <f>IFERROR(V91/U91, "X")</f>
        <v>X</v>
      </c>
      <c r="Z91" s="58">
        <f>'diesel used'!X91+'diesel used'!X92</f>
        <v>0</v>
      </c>
      <c r="AA91" s="58">
        <f>'diesel used'!Y91</f>
        <v>16209</v>
      </c>
      <c r="AB91" s="63" t="str">
        <f>IFERROR(AA91/Z91, "X")</f>
        <v>X</v>
      </c>
      <c r="AE91" s="58">
        <f>'diesel used'!AC91+'diesel used'!AC92</f>
        <v>54.552</v>
      </c>
      <c r="AF91" s="58">
        <f>'diesel used'!AD91</f>
        <v>16154</v>
      </c>
      <c r="AG91" s="63">
        <f>IFERROR(AF91/AE91, "X")</f>
        <v>296.12113213081096</v>
      </c>
      <c r="AJ91" s="58">
        <f>'diesel used'!AH91+'diesel used'!AH92</f>
        <v>0</v>
      </c>
      <c r="AK91" s="58">
        <f>'diesel used'!AI91</f>
        <v>0</v>
      </c>
      <c r="AL91" s="63" t="str">
        <f>IFERROR(AK91/AJ91, "X")</f>
        <v>X</v>
      </c>
    </row>
    <row r="92" spans="1:38">
      <c r="A92" s="57">
        <f>'diesel used'!A92</f>
        <v>28</v>
      </c>
      <c r="B92" s="57" t="s">
        <v>114</v>
      </c>
      <c r="C92" t="str">
        <f>'diesel used'!B92</f>
        <v>DC02 F&amp;P(KSS)</v>
      </c>
      <c r="D92">
        <f>'diesel used'!C92</f>
        <v>0</v>
      </c>
      <c r="H92" s="58">
        <f>'diesel used'!F92</f>
        <v>275</v>
      </c>
      <c r="K92" s="58"/>
      <c r="L92" s="58"/>
      <c r="M92" s="63" t="str">
        <f t="shared" si="0"/>
        <v>X</v>
      </c>
      <c r="P92" s="58"/>
      <c r="Q92" s="58"/>
      <c r="R92" s="63" t="str">
        <f t="shared" ref="R92" si="16">IFERROR(Q92/P92, "X")</f>
        <v>X</v>
      </c>
      <c r="U92" s="58"/>
      <c r="V92" s="58"/>
      <c r="W92" s="63" t="str">
        <f t="shared" ref="W92" si="17">IFERROR(V92/U92, "X")</f>
        <v>X</v>
      </c>
      <c r="Z92" s="58"/>
      <c r="AA92" s="58"/>
      <c r="AB92" s="63" t="str">
        <f t="shared" ref="AB92" si="18">IFERROR(AA92/Z92, "X")</f>
        <v>X</v>
      </c>
      <c r="AE92" s="58"/>
      <c r="AF92" s="58"/>
      <c r="AG92" s="63" t="str">
        <f t="shared" ref="AG92" si="19">IFERROR(AF92/AE92, "X")</f>
        <v>X</v>
      </c>
      <c r="AJ92" s="58"/>
      <c r="AK92" s="58"/>
      <c r="AL92" s="63" t="str">
        <f t="shared" ref="AL92" si="20">IFERROR(AK92/AJ92, "X")</f>
        <v>X</v>
      </c>
    </row>
    <row r="93" spans="1:38">
      <c r="A93" s="57"/>
      <c r="B93" s="57"/>
      <c r="H93" s="58"/>
      <c r="K93" s="58"/>
      <c r="L93" s="58"/>
      <c r="P93" s="58"/>
      <c r="Q93" s="58"/>
      <c r="R93" s="63"/>
      <c r="U93" s="58"/>
      <c r="V93" s="58"/>
      <c r="W93" s="63"/>
      <c r="Z93" s="58"/>
      <c r="AA93" s="58"/>
      <c r="AB93" s="63"/>
      <c r="AE93" s="58"/>
      <c r="AF93" s="58"/>
      <c r="AG93" s="63"/>
      <c r="AJ93" s="58"/>
      <c r="AK93" s="58"/>
      <c r="AL93" s="63"/>
    </row>
    <row r="94" spans="1:38">
      <c r="A94" s="57"/>
      <c r="B94" s="57"/>
      <c r="H94" s="58"/>
      <c r="K94" s="58"/>
      <c r="L94" s="58"/>
      <c r="P94" s="58"/>
      <c r="Q94" s="58"/>
      <c r="R94" s="63"/>
      <c r="U94" s="58"/>
      <c r="V94" s="58"/>
      <c r="W94" s="63"/>
      <c r="Z94" s="58"/>
      <c r="AA94" s="58"/>
      <c r="AB94" s="63"/>
      <c r="AE94" s="58"/>
      <c r="AF94" s="58"/>
      <c r="AG94" s="63"/>
      <c r="AJ94" s="58"/>
      <c r="AK94" s="58"/>
      <c r="AL94" s="63"/>
    </row>
    <row r="95" spans="1:38">
      <c r="A95" s="57">
        <f>'diesel used'!A95</f>
        <v>29</v>
      </c>
      <c r="B95" s="57" t="s">
        <v>114</v>
      </c>
      <c r="C95" t="str">
        <f>'diesel used'!B95</f>
        <v>HO</v>
      </c>
      <c r="D95">
        <f>'diesel used'!C95</f>
        <v>0</v>
      </c>
      <c r="H95" s="58">
        <f>'diesel used'!F95</f>
        <v>700</v>
      </c>
      <c r="K95" s="58">
        <f>'diesel used'!I95+'diesel used'!I96</f>
        <v>45</v>
      </c>
      <c r="L95" s="58">
        <f>'diesel used'!J95</f>
        <v>0</v>
      </c>
      <c r="M95" s="63">
        <f>IFERROR(L95/K95, "X")</f>
        <v>0</v>
      </c>
      <c r="P95" s="58">
        <f>'diesel used'!N95+'diesel used'!N96</f>
        <v>90</v>
      </c>
      <c r="Q95" s="58">
        <f>'diesel used'!O95</f>
        <v>0</v>
      </c>
      <c r="R95" s="63">
        <f>IFERROR(Q95/P95, "X")</f>
        <v>0</v>
      </c>
      <c r="U95" s="58">
        <f>'diesel used'!S95+'diesel used'!S96</f>
        <v>0</v>
      </c>
      <c r="V95" s="58">
        <f>'diesel used'!T95</f>
        <v>0</v>
      </c>
      <c r="W95" s="63" t="str">
        <f>IFERROR(V95/U95, "X")</f>
        <v>X</v>
      </c>
      <c r="Z95" s="58">
        <f>'diesel used'!X95+'diesel used'!X96</f>
        <v>0</v>
      </c>
      <c r="AA95" s="58">
        <f>'diesel used'!Y95</f>
        <v>0</v>
      </c>
      <c r="AB95" s="63" t="str">
        <f>IFERROR(AA95/Z95, "X")</f>
        <v>X</v>
      </c>
      <c r="AE95" s="58">
        <f>'diesel used'!AC95+'diesel used'!AC96</f>
        <v>0</v>
      </c>
      <c r="AF95" s="58">
        <f>'diesel used'!AD95</f>
        <v>0</v>
      </c>
      <c r="AG95" s="63" t="str">
        <f>IFERROR(AF95/AE95, "X")</f>
        <v>X</v>
      </c>
      <c r="AJ95" s="58">
        <f>'diesel used'!AH95+'diesel used'!AH96</f>
        <v>0</v>
      </c>
      <c r="AK95" s="58">
        <f>'diesel used'!AI95</f>
        <v>0</v>
      </c>
      <c r="AL95" s="63" t="str">
        <f>IFERROR(AK95/AJ95, "X")</f>
        <v>X</v>
      </c>
    </row>
    <row r="96" spans="1:38">
      <c r="A96" s="57">
        <f>'diesel used'!A96</f>
        <v>30</v>
      </c>
      <c r="B96" s="57" t="s">
        <v>114</v>
      </c>
      <c r="C96" t="str">
        <f>'diesel used'!B96</f>
        <v>HO</v>
      </c>
      <c r="D96">
        <f>'diesel used'!C96</f>
        <v>0</v>
      </c>
      <c r="H96" s="58">
        <f>'diesel used'!F96</f>
        <v>60</v>
      </c>
      <c r="K96" s="58"/>
      <c r="L96" s="58"/>
      <c r="M96" s="63" t="str">
        <f t="shared" ref="M94:M108" si="21">IFERROR(L96/K96, "X")</f>
        <v>X</v>
      </c>
      <c r="P96" s="58"/>
      <c r="Q96" s="58"/>
      <c r="R96" s="63" t="str">
        <f t="shared" ref="R96:R97" si="22">IFERROR(Q96/P96, "X")</f>
        <v>X</v>
      </c>
      <c r="U96" s="58"/>
      <c r="V96" s="58"/>
      <c r="W96" s="63" t="str">
        <f t="shared" ref="W96:W97" si="23">IFERROR(V96/U96, "X")</f>
        <v>X</v>
      </c>
      <c r="Z96" s="58"/>
      <c r="AA96" s="58"/>
      <c r="AB96" s="63" t="str">
        <f t="shared" ref="AB96:AB97" si="24">IFERROR(AA96/Z96, "X")</f>
        <v>X</v>
      </c>
      <c r="AE96" s="58"/>
      <c r="AF96" s="58"/>
      <c r="AG96" s="63" t="str">
        <f t="shared" ref="AG96:AG97" si="25">IFERROR(AF96/AE96, "X")</f>
        <v>X</v>
      </c>
      <c r="AJ96" s="58"/>
      <c r="AK96" s="58"/>
      <c r="AL96" s="63" t="str">
        <f t="shared" ref="AL96:AL97" si="26">IFERROR(AK96/AJ96, "X")</f>
        <v>X</v>
      </c>
    </row>
    <row r="97" spans="1:38">
      <c r="A97" s="57">
        <f>'diesel used'!A97</f>
        <v>31</v>
      </c>
      <c r="B97" s="57" t="s">
        <v>114</v>
      </c>
      <c r="C97" t="str">
        <f>'diesel used'!B97</f>
        <v xml:space="preserve">SSWH ( FM) </v>
      </c>
      <c r="D97">
        <f>'diesel used'!C97</f>
        <v>0</v>
      </c>
      <c r="H97" s="58">
        <f>'diesel used'!F97</f>
        <v>0</v>
      </c>
      <c r="K97" s="58">
        <f>'diesel used'!I97</f>
        <v>0</v>
      </c>
      <c r="L97" s="58">
        <f>'diesel used'!J97</f>
        <v>0</v>
      </c>
      <c r="M97" s="63" t="str">
        <f t="shared" si="21"/>
        <v>X</v>
      </c>
      <c r="P97" s="58">
        <f>'diesel used'!N97</f>
        <v>0</v>
      </c>
      <c r="Q97" s="58">
        <f>'diesel used'!O97</f>
        <v>0</v>
      </c>
      <c r="R97" s="63" t="str">
        <f t="shared" si="22"/>
        <v>X</v>
      </c>
      <c r="U97" s="58">
        <f>'diesel used'!S97</f>
        <v>0</v>
      </c>
      <c r="V97" s="58">
        <f>'diesel used'!T97</f>
        <v>0</v>
      </c>
      <c r="W97" s="63" t="str">
        <f t="shared" si="23"/>
        <v>X</v>
      </c>
      <c r="Z97" s="58">
        <f>'diesel used'!X97</f>
        <v>0</v>
      </c>
      <c r="AA97" s="58">
        <f>'diesel used'!Y97</f>
        <v>0</v>
      </c>
      <c r="AB97" s="63" t="str">
        <f t="shared" si="24"/>
        <v>X</v>
      </c>
      <c r="AE97" s="58">
        <f>'diesel used'!AC97</f>
        <v>0</v>
      </c>
      <c r="AF97" s="58">
        <f>'diesel used'!AD97</f>
        <v>0</v>
      </c>
      <c r="AG97" s="63" t="str">
        <f t="shared" si="25"/>
        <v>X</v>
      </c>
      <c r="AJ97" s="58">
        <f>'diesel used'!AH97</f>
        <v>0</v>
      </c>
      <c r="AK97" s="58">
        <f>'diesel used'!AI97</f>
        <v>0</v>
      </c>
      <c r="AL97" s="63" t="str">
        <f t="shared" si="26"/>
        <v>X</v>
      </c>
    </row>
    <row r="98" spans="1:38">
      <c r="A98" s="57"/>
      <c r="B98" s="57"/>
      <c r="H98" s="58"/>
      <c r="K98" s="58"/>
      <c r="L98" s="58"/>
      <c r="P98" s="58"/>
      <c r="Q98" s="58"/>
      <c r="R98" s="63"/>
      <c r="U98" s="58"/>
      <c r="V98" s="58"/>
      <c r="W98" s="63"/>
      <c r="Z98" s="58"/>
      <c r="AA98" s="58"/>
      <c r="AB98" s="63"/>
      <c r="AE98" s="58"/>
      <c r="AF98" s="58"/>
      <c r="AG98" s="63"/>
      <c r="AJ98" s="58"/>
      <c r="AK98" s="58"/>
      <c r="AL98" s="63"/>
    </row>
    <row r="99" spans="1:38">
      <c r="A99" s="57"/>
      <c r="B99" s="57"/>
      <c r="H99" s="58"/>
      <c r="K99" s="58"/>
      <c r="L99" s="58"/>
      <c r="P99" s="58"/>
      <c r="Q99" s="58"/>
      <c r="R99" s="63"/>
      <c r="U99" s="58"/>
      <c r="V99" s="58"/>
      <c r="W99" s="63"/>
      <c r="Z99" s="58"/>
      <c r="AA99" s="58"/>
      <c r="AB99" s="63"/>
      <c r="AE99" s="58"/>
      <c r="AF99" s="58"/>
      <c r="AG99" s="63"/>
      <c r="AJ99" s="58"/>
      <c r="AK99" s="58"/>
      <c r="AL99" s="63"/>
    </row>
    <row r="100" spans="1:38">
      <c r="A100" s="57">
        <f>'diesel used'!A100</f>
        <v>32</v>
      </c>
      <c r="B100" s="57" t="s">
        <v>114</v>
      </c>
      <c r="C100" t="str">
        <f>'diesel used'!B100</f>
        <v>MCS (152)Stores</v>
      </c>
      <c r="D100">
        <f>'diesel used'!C100</f>
        <v>0</v>
      </c>
      <c r="H100" s="58">
        <f>'diesel used'!F100</f>
        <v>0</v>
      </c>
      <c r="K100" s="58">
        <f>'diesel used'!I100</f>
        <v>180</v>
      </c>
      <c r="L100" s="58">
        <f>'diesel used'!J100</f>
        <v>0</v>
      </c>
      <c r="M100" s="63">
        <f t="shared" si="21"/>
        <v>0</v>
      </c>
      <c r="P100" s="58">
        <f>'diesel used'!N100</f>
        <v>40</v>
      </c>
      <c r="Q100" s="58">
        <f>'diesel used'!O100</f>
        <v>0</v>
      </c>
      <c r="R100" s="63">
        <f t="shared" ref="R99:R100" si="27">IFERROR(Q100/P100, "X")</f>
        <v>0</v>
      </c>
      <c r="U100" s="58">
        <f>'diesel used'!S100</f>
        <v>0</v>
      </c>
      <c r="V100" s="58">
        <f>'diesel used'!T100</f>
        <v>0</v>
      </c>
      <c r="W100" s="63" t="str">
        <f t="shared" ref="W99:W100" si="28">IFERROR(V100/U100, "X")</f>
        <v>X</v>
      </c>
      <c r="Z100" s="58">
        <f>'diesel used'!X100</f>
        <v>0</v>
      </c>
      <c r="AA100" s="58">
        <f>'diesel used'!Y100</f>
        <v>0</v>
      </c>
      <c r="AB100" s="63" t="str">
        <f t="shared" ref="AB99:AB100" si="29">IFERROR(AA100/Z100, "X")</f>
        <v>X</v>
      </c>
      <c r="AE100" s="58">
        <f>'diesel used'!AC100</f>
        <v>0</v>
      </c>
      <c r="AF100" s="58">
        <f>'diesel used'!AD100</f>
        <v>0</v>
      </c>
      <c r="AG100" s="63" t="str">
        <f t="shared" ref="AG99:AG100" si="30">IFERROR(AF100/AE100, "X")</f>
        <v>X</v>
      </c>
      <c r="AJ100" s="58">
        <f>'diesel used'!AH100</f>
        <v>0</v>
      </c>
      <c r="AK100" s="58">
        <f>'diesel used'!AI100</f>
        <v>0</v>
      </c>
      <c r="AL100" s="63" t="str">
        <f t="shared" ref="AL100:AL101" si="31">IFERROR(AK100/AJ100, "X")</f>
        <v>X</v>
      </c>
    </row>
    <row r="101" spans="1:38">
      <c r="A101" s="57"/>
      <c r="B101" s="57"/>
      <c r="H101" s="58"/>
      <c r="K101" s="58"/>
      <c r="L101" s="58"/>
      <c r="P101" s="58"/>
      <c r="Q101" s="58"/>
      <c r="R101" s="63"/>
      <c r="U101" s="58"/>
      <c r="V101" s="58"/>
      <c r="W101" s="63"/>
      <c r="Z101" s="58"/>
      <c r="AA101" s="58"/>
      <c r="AB101" s="63"/>
      <c r="AE101" s="58"/>
      <c r="AF101" s="58"/>
      <c r="AG101" s="63"/>
      <c r="AJ101" s="58"/>
      <c r="AK101" s="58"/>
      <c r="AL101" s="63"/>
    </row>
    <row r="102" spans="1:38">
      <c r="A102" s="57"/>
      <c r="B102" s="57"/>
      <c r="H102" s="58"/>
      <c r="K102" s="58"/>
      <c r="L102" s="58"/>
      <c r="P102" s="58"/>
      <c r="Q102" s="58"/>
      <c r="R102" s="63"/>
      <c r="U102" s="58"/>
      <c r="V102" s="58"/>
      <c r="W102" s="63"/>
      <c r="Z102" s="58"/>
      <c r="AA102" s="58"/>
      <c r="AB102" s="63"/>
      <c r="AE102" s="58"/>
      <c r="AF102" s="58"/>
      <c r="AG102" s="63"/>
      <c r="AJ102" s="58"/>
      <c r="AK102" s="58"/>
      <c r="AL102" s="63"/>
    </row>
    <row r="103" spans="1:38">
      <c r="A103" s="57"/>
      <c r="B103" s="57"/>
      <c r="H103" s="58"/>
      <c r="K103" s="58"/>
      <c r="L103" s="58"/>
      <c r="P103" s="58"/>
      <c r="Q103" s="58"/>
      <c r="R103" s="63"/>
      <c r="U103" s="58"/>
      <c r="V103" s="58"/>
      <c r="W103" s="63"/>
      <c r="Z103" s="58"/>
      <c r="AA103" s="58"/>
      <c r="AB103" s="63"/>
      <c r="AE103" s="58"/>
      <c r="AF103" s="58"/>
      <c r="AG103" s="63"/>
      <c r="AJ103" s="58"/>
      <c r="AK103" s="58"/>
      <c r="AL103" s="63"/>
    </row>
    <row r="104" spans="1:38">
      <c r="A104" s="57">
        <f>'diesel used'!A104</f>
        <v>33</v>
      </c>
      <c r="B104" s="57" t="s">
        <v>114</v>
      </c>
      <c r="C104" t="str">
        <f>'diesel used'!B104</f>
        <v>OCJN</v>
      </c>
      <c r="D104">
        <f>'diesel used'!C104</f>
        <v>0</v>
      </c>
      <c r="H104" s="58">
        <f>'diesel used'!F104</f>
        <v>410</v>
      </c>
      <c r="K104" s="58">
        <f>'diesel used'!I104</f>
        <v>227</v>
      </c>
      <c r="L104" s="58">
        <f>'diesel used'!J104</f>
        <v>895</v>
      </c>
      <c r="M104" s="63">
        <f t="shared" si="21"/>
        <v>3.9427312775330399</v>
      </c>
      <c r="P104" s="58">
        <f>'diesel used'!N104</f>
        <v>272.76</v>
      </c>
      <c r="Q104" s="58">
        <f>'diesel used'!O104</f>
        <v>654</v>
      </c>
      <c r="R104" s="63">
        <f t="shared" ref="R102:R106" si="32">IFERROR(Q104/P104, "X")</f>
        <v>2.3977122745270569</v>
      </c>
      <c r="U104" s="58">
        <f>'diesel used'!S104</f>
        <v>113</v>
      </c>
      <c r="V104" s="58">
        <f>'diesel used'!T104</f>
        <v>759</v>
      </c>
      <c r="W104" s="63">
        <f t="shared" ref="W102:W106" si="33">IFERROR(V104/U104, "X")</f>
        <v>6.716814159292035</v>
      </c>
      <c r="Z104" s="58">
        <f>'diesel used'!X104</f>
        <v>272</v>
      </c>
      <c r="AA104" s="58">
        <f>'diesel used'!Y104</f>
        <v>486</v>
      </c>
      <c r="AB104" s="63">
        <f t="shared" ref="AB102:AB106" si="34">IFERROR(AA104/Z104, "X")</f>
        <v>1.786764705882353</v>
      </c>
      <c r="AE104" s="58">
        <f>'diesel used'!AC104</f>
        <v>227</v>
      </c>
      <c r="AF104" s="58">
        <f>'diesel used'!AD104</f>
        <v>486</v>
      </c>
      <c r="AG104" s="63">
        <f t="shared" ref="AG102:AG106" si="35">IFERROR(AF104/AE104, "X")</f>
        <v>2.1409691629955949</v>
      </c>
      <c r="AJ104" s="58">
        <f>'diesel used'!AH104</f>
        <v>0</v>
      </c>
      <c r="AK104" s="58">
        <f>'diesel used'!AI104</f>
        <v>0</v>
      </c>
      <c r="AL104" s="63" t="str">
        <f t="shared" ref="AL104:AL108" si="36">IFERROR(AK104/AJ104, "X")</f>
        <v>X</v>
      </c>
    </row>
    <row r="105" spans="1:38">
      <c r="A105" s="57">
        <f>'diesel used'!A105</f>
        <v>34</v>
      </c>
      <c r="B105" s="57" t="s">
        <v>114</v>
      </c>
      <c r="C105" t="str">
        <f>'diesel used'!B105</f>
        <v>OCTG</v>
      </c>
      <c r="D105">
        <f>'diesel used'!C105</f>
        <v>0</v>
      </c>
      <c r="H105" s="58">
        <f>'diesel used'!F105</f>
        <v>550</v>
      </c>
      <c r="K105" s="58">
        <f>'diesel used'!I105</f>
        <v>204.57000000000002</v>
      </c>
      <c r="L105" s="58">
        <f>'diesel used'!J105</f>
        <v>3864.1000000000004</v>
      </c>
      <c r="M105" s="63">
        <f t="shared" si="21"/>
        <v>18.888888888888889</v>
      </c>
      <c r="P105" s="58">
        <f>'diesel used'!N105</f>
        <v>136.38</v>
      </c>
      <c r="Q105" s="58">
        <f>'diesel used'!O105</f>
        <v>3814.0940000000001</v>
      </c>
      <c r="R105" s="63">
        <f t="shared" si="32"/>
        <v>27.966666666666669</v>
      </c>
      <c r="U105" s="58">
        <f>'diesel used'!S105</f>
        <v>18.184000000000001</v>
      </c>
      <c r="V105" s="58">
        <f>'diesel used'!T105</f>
        <v>3795.9100000000003</v>
      </c>
      <c r="W105" s="63">
        <f t="shared" si="33"/>
        <v>208.75</v>
      </c>
      <c r="Z105" s="58">
        <f>'diesel used'!X105</f>
        <v>0</v>
      </c>
      <c r="AA105" s="58">
        <f>'diesel used'!Y105</f>
        <v>5977.9900000000007</v>
      </c>
      <c r="AB105" s="63" t="str">
        <f t="shared" si="34"/>
        <v>X</v>
      </c>
      <c r="AE105" s="58">
        <f>'diesel used'!AC105</f>
        <v>43.187000000000005</v>
      </c>
      <c r="AF105" s="58">
        <f>'diesel used'!AD105</f>
        <v>5932.5300000000007</v>
      </c>
      <c r="AG105" s="63">
        <f t="shared" si="35"/>
        <v>137.36842105263159</v>
      </c>
      <c r="AJ105" s="58">
        <f>'diesel used'!AH105</f>
        <v>0</v>
      </c>
      <c r="AK105" s="58">
        <f>'diesel used'!AI105</f>
        <v>0</v>
      </c>
      <c r="AL105" s="63" t="str">
        <f t="shared" si="36"/>
        <v>X</v>
      </c>
    </row>
    <row r="106" spans="1:38">
      <c r="A106" s="57">
        <f>'diesel used'!A106</f>
        <v>35</v>
      </c>
      <c r="B106" s="57" t="s">
        <v>114</v>
      </c>
      <c r="C106" t="str">
        <f>'diesel used'!B106</f>
        <v>OCDP</v>
      </c>
      <c r="D106">
        <f>'diesel used'!C106</f>
        <v>0</v>
      </c>
      <c r="H106" s="58">
        <f>'diesel used'!F106</f>
        <v>375</v>
      </c>
      <c r="K106" s="58">
        <f>'diesel used'!I106</f>
        <v>0</v>
      </c>
      <c r="L106" s="58">
        <f>'diesel used'!J106</f>
        <v>2037</v>
      </c>
      <c r="M106" s="63" t="str">
        <f t="shared" si="21"/>
        <v>X</v>
      </c>
      <c r="P106" s="58">
        <f>'diesel used'!N106</f>
        <v>38</v>
      </c>
      <c r="Q106" s="58">
        <f>'diesel used'!O106</f>
        <v>1999</v>
      </c>
      <c r="R106" s="63">
        <f t="shared" si="32"/>
        <v>52.60526315789474</v>
      </c>
      <c r="U106" s="58">
        <f>'diesel used'!S106</f>
        <v>2</v>
      </c>
      <c r="V106" s="58">
        <f>'diesel used'!T106</f>
        <v>1997</v>
      </c>
      <c r="W106" s="63">
        <f t="shared" si="33"/>
        <v>998.5</v>
      </c>
      <c r="Z106" s="58">
        <f>'diesel used'!X106</f>
        <v>0</v>
      </c>
      <c r="AA106" s="58">
        <f>'diesel used'!Y106</f>
        <v>1997</v>
      </c>
      <c r="AB106" s="63" t="str">
        <f t="shared" si="34"/>
        <v>X</v>
      </c>
      <c r="AE106" s="58">
        <f>'diesel used'!AC106</f>
        <v>3</v>
      </c>
      <c r="AF106" s="58">
        <f>'diesel used'!AD106</f>
        <v>1994</v>
      </c>
      <c r="AG106" s="63">
        <f t="shared" si="35"/>
        <v>664.66666666666663</v>
      </c>
      <c r="AJ106" s="58">
        <f>'diesel used'!AH106</f>
        <v>0</v>
      </c>
      <c r="AK106" s="58">
        <f>'diesel used'!AI106</f>
        <v>0</v>
      </c>
      <c r="AL106" s="63" t="str">
        <f t="shared" si="36"/>
        <v>X</v>
      </c>
    </row>
    <row r="107" spans="1:38">
      <c r="A107" s="57"/>
      <c r="B107" s="57"/>
      <c r="H107" s="58"/>
      <c r="K107" s="58"/>
      <c r="L107" s="58"/>
      <c r="P107" s="58"/>
      <c r="Q107" s="58"/>
      <c r="R107" s="63"/>
      <c r="U107" s="58"/>
      <c r="V107" s="58"/>
      <c r="W107" s="63"/>
      <c r="Z107" s="58"/>
      <c r="AA107" s="58"/>
      <c r="AB107" s="63"/>
      <c r="AE107" s="58"/>
      <c r="AF107" s="58"/>
      <c r="AG107" s="63"/>
      <c r="AJ107" s="58"/>
      <c r="AK107" s="58"/>
      <c r="AL107" s="63"/>
    </row>
    <row r="108" spans="1:38">
      <c r="A108" s="57">
        <f>'diesel used'!A108</f>
        <v>36</v>
      </c>
      <c r="B108" s="57" t="s">
        <v>114</v>
      </c>
      <c r="C108" t="str">
        <f>'diesel used'!B108</f>
        <v>DC09</v>
      </c>
      <c r="D108" t="str">
        <f>'diesel used'!C108</f>
        <v>Regular</v>
      </c>
      <c r="H108" s="58">
        <f>'diesel used'!F108</f>
        <v>350</v>
      </c>
      <c r="K108" s="58">
        <f>'diesel used'!I108</f>
        <v>0</v>
      </c>
      <c r="L108" s="58">
        <f>'diesel used'!J108</f>
        <v>872.83199999999999</v>
      </c>
      <c r="M108" s="63" t="str">
        <f t="shared" si="21"/>
        <v>X</v>
      </c>
      <c r="P108" s="58">
        <f>'diesel used'!N108</f>
        <v>0</v>
      </c>
      <c r="Q108" s="58">
        <f>'diesel used'!O108</f>
        <v>873</v>
      </c>
      <c r="R108" s="63" t="str">
        <f t="shared" ref="R108:R109" si="37">IFERROR(Q108/P108, "X")</f>
        <v>X</v>
      </c>
      <c r="U108" s="58">
        <f>'diesel used'!S108</f>
        <v>23</v>
      </c>
      <c r="V108" s="58">
        <f>'diesel used'!T108</f>
        <v>872.83200000000011</v>
      </c>
      <c r="W108" s="63">
        <f t="shared" ref="W108:W109" si="38">IFERROR(V108/U108, "X")</f>
        <v>37.949217391304352</v>
      </c>
      <c r="Z108" s="58">
        <f>'diesel used'!X108</f>
        <v>2.2730000000000001</v>
      </c>
      <c r="AA108" s="58">
        <f>'diesel used'!Y108</f>
        <v>2686.7</v>
      </c>
      <c r="AB108" s="63">
        <f t="shared" ref="AB108:AB109" si="39">IFERROR(AA108/Z108, "X")</f>
        <v>1182.0061592608886</v>
      </c>
      <c r="AE108" s="58">
        <f>'diesel used'!AC108</f>
        <v>0</v>
      </c>
      <c r="AF108" s="58">
        <f>'diesel used'!AD108</f>
        <v>2687</v>
      </c>
      <c r="AG108" s="63" t="str">
        <f t="shared" ref="AG108:AG109" si="40">IFERROR(AF108/AE108, "X")</f>
        <v>X</v>
      </c>
      <c r="AJ108" s="58">
        <f>'diesel used'!AH108</f>
        <v>0</v>
      </c>
      <c r="AK108" s="58">
        <f>'diesel used'!AI108</f>
        <v>0</v>
      </c>
      <c r="AL108" s="63" t="str">
        <f t="shared" ref="AL108:AL109" si="41">IFERROR(AK108/AJ108, "X")</f>
        <v>X</v>
      </c>
    </row>
    <row r="109" spans="1:38">
      <c r="B109" s="57" t="s">
        <v>114</v>
      </c>
      <c r="C109">
        <f>'diesel used'!B109</f>
        <v>0</v>
      </c>
      <c r="D109">
        <f>'diesel used'!C109</f>
        <v>0</v>
      </c>
      <c r="H109" s="58">
        <f>'diesel used'!F109</f>
        <v>165</v>
      </c>
      <c r="K109" s="58">
        <f>'diesel used'!I109</f>
        <v>0</v>
      </c>
      <c r="L109" s="58">
        <f>'diesel used'!J109</f>
        <v>0</v>
      </c>
      <c r="M109" s="63" t="str">
        <f t="shared" ref="M109" si="42">IFERROR(L109/K109, "X")</f>
        <v>X</v>
      </c>
      <c r="P109" s="58">
        <f>'diesel used'!N109</f>
        <v>0</v>
      </c>
      <c r="Q109" s="58">
        <f>'diesel used'!O109</f>
        <v>0</v>
      </c>
      <c r="R109" s="63" t="str">
        <f t="shared" si="37"/>
        <v>X</v>
      </c>
      <c r="U109" s="58">
        <f>'diesel used'!S109</f>
        <v>0</v>
      </c>
      <c r="V109" s="58">
        <f>'diesel used'!T109</f>
        <v>0</v>
      </c>
      <c r="W109" s="63" t="str">
        <f t="shared" si="38"/>
        <v>X</v>
      </c>
      <c r="Z109" s="58">
        <f>'diesel used'!X109</f>
        <v>0</v>
      </c>
      <c r="AA109" s="58">
        <f>'diesel used'!Y109</f>
        <v>0</v>
      </c>
      <c r="AB109" s="63" t="str">
        <f t="shared" si="39"/>
        <v>X</v>
      </c>
      <c r="AE109" s="58">
        <f>'diesel used'!AC109</f>
        <v>0</v>
      </c>
      <c r="AF109" s="58">
        <f>'diesel used'!AD109</f>
        <v>0</v>
      </c>
      <c r="AG109" s="63" t="str">
        <f t="shared" si="40"/>
        <v>X</v>
      </c>
      <c r="AJ109" s="58">
        <f>'diesel used'!AH109</f>
        <v>0</v>
      </c>
      <c r="AK109" s="58">
        <f>'diesel used'!AI109</f>
        <v>0</v>
      </c>
      <c r="AL109" s="63" t="str">
        <f t="shared" si="41"/>
        <v>X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15db7d-44cc-4dd3-8909-2fbd3db14390" xsi:nil="true"/>
    <lcf76f155ced4ddcb4097134ff3c332f xmlns="bac1b4bd-e36d-4bd7-a12e-5a3ed8e0a3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FF812578A9249984E6A81D86A58F9" ma:contentTypeVersion="12" ma:contentTypeDescription="Create a new document." ma:contentTypeScope="" ma:versionID="f2f013c7502a6c5e4068923bd23dfef4">
  <xsd:schema xmlns:xsd="http://www.w3.org/2001/XMLSchema" xmlns:xs="http://www.w3.org/2001/XMLSchema" xmlns:p="http://schemas.microsoft.com/office/2006/metadata/properties" xmlns:ns2="bac1b4bd-e36d-4bd7-a12e-5a3ed8e0a3a0" xmlns:ns3="8415db7d-44cc-4dd3-8909-2fbd3db14390" targetNamespace="http://schemas.microsoft.com/office/2006/metadata/properties" ma:root="true" ma:fieldsID="b570343c6fe753a1aa35838d07321bfb" ns2:_="" ns3:_="">
    <xsd:import namespace="bac1b4bd-e36d-4bd7-a12e-5a3ed8e0a3a0"/>
    <xsd:import namespace="8415db7d-44cc-4dd3-8909-2fbd3db14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1b4bd-e36d-4bd7-a12e-5a3ed8e0a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ae5ac87-0055-4ddc-8316-51e615eba2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5db7d-44cc-4dd3-8909-2fbd3db1439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9751ee9-a7ef-4841-9684-7f508fb54d8d}" ma:internalName="TaxCatchAll" ma:showField="CatchAllData" ma:web="8415db7d-44cc-4dd3-8909-2fbd3db14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FCEC1D-CEB9-448B-9E4C-0EEBFF65078D}"/>
</file>

<file path=customXml/itemProps2.xml><?xml version="1.0" encoding="utf-8"?>
<ds:datastoreItem xmlns:ds="http://schemas.openxmlformats.org/officeDocument/2006/customXml" ds:itemID="{F116D779-FD3B-4B84-B2B0-955EC7803729}"/>
</file>

<file path=customXml/itemProps3.xml><?xml version="1.0" encoding="utf-8"?>
<ds:datastoreItem xmlns:ds="http://schemas.openxmlformats.org/officeDocument/2006/customXml" ds:itemID="{F3EEC3C6-64F2-48ED-BE1E-139DAD135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 Swe Maw</dc:creator>
  <cp:keywords/>
  <dc:description/>
  <cp:lastModifiedBy>Swe Swe Maw</cp:lastModifiedBy>
  <cp:revision/>
  <dcterms:created xsi:type="dcterms:W3CDTF">2026-03-29T10:23:46Z</dcterms:created>
  <dcterms:modified xsi:type="dcterms:W3CDTF">2026-03-30T15:08:10Z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0x0101002F1FF812578A9249984E6A81D86A58F9</vt:lpwstr>
  </property>
  <property fmtid="{D5CDD505-2E9C-101B-9397-08002B2CF9AE}" pid="3" name="MediaServiceImageTags">
    <vt:lpwstr/>
  </property>
</Properties>
</file>