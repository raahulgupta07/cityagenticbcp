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BPC_ Blackout Hr\"/>
    </mc:Choice>
  </mc:AlternateContent>
  <xr:revisionPtr revIDLastSave="214" documentId="13_ncr:1_{9FAB358A-D3E2-4C31-AC27-7F2B6531315C}" xr6:coauthVersionLast="47" xr6:coauthVersionMax="47" xr10:uidLastSave="{41224A2A-4613-42F8-A979-DE96CE509B3A}"/>
  <bookViews>
    <workbookView xWindow="-110" yWindow="-110" windowWidth="19420" windowHeight="11620" xr2:uid="{31742421-6191-496F-925A-69F86EE48E66}"/>
  </bookViews>
  <sheets>
    <sheet name="CFC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4" l="1"/>
  <c r="AD8" i="4"/>
  <c r="AL4" i="4"/>
  <c r="AK4" i="4"/>
  <c r="AJ4" i="4"/>
  <c r="AH4" i="4"/>
  <c r="AG4" i="4"/>
  <c r="AF4" i="4"/>
  <c r="Y8" i="4"/>
  <c r="AD4" i="4"/>
  <c r="AC4" i="4"/>
  <c r="AB4" i="4"/>
  <c r="Y4" i="4"/>
  <c r="X4" i="4"/>
  <c r="W4" i="4"/>
  <c r="T4" i="4"/>
  <c r="S4" i="4"/>
  <c r="R4" i="4"/>
  <c r="O4" i="4"/>
  <c r="N4" i="4"/>
  <c r="M4" i="4"/>
  <c r="J4" i="4"/>
  <c r="I4" i="4"/>
  <c r="H4" i="4"/>
</calcChain>
</file>

<file path=xl/sharedStrings.xml><?xml version="1.0" encoding="utf-8"?>
<sst xmlns="http://schemas.openxmlformats.org/spreadsheetml/2006/main" count="59" uniqueCount="28">
  <si>
    <t>စက်သုံးဆီဆိုင်မဟုတ်သည့် အခြားကဏ္ဍများ အရေးပေါ်စက်သုံးဆီလိုအပ်ချက်များ တင်ပြခြင်း</t>
  </si>
  <si>
    <t>စဥ်</t>
  </si>
  <si>
    <t>Store Name</t>
  </si>
  <si>
    <t>Type (Regular/ LNG)</t>
  </si>
  <si>
    <t>ဆီအမျိုးအစား (PD/HSD)</t>
  </si>
  <si>
    <t>ဝယ်ယူခဲ့ သည့် ကုမ္ပဏီ</t>
  </si>
  <si>
    <t>Machine
 Power</t>
  </si>
  <si>
    <t>Consumpiton
 Per Hour</t>
  </si>
  <si>
    <t>မသိရင် မဖြည့်လဲရပါသည်</t>
  </si>
  <si>
    <t>KVA</t>
  </si>
  <si>
    <t>Liter</t>
  </si>
  <si>
    <t>Gen Run Hr</t>
  </si>
  <si>
    <t>Daily Used (L)</t>
  </si>
  <si>
    <t>Spare Tank Balance (L)</t>
  </si>
  <si>
    <t>Blackout Hr</t>
  </si>
  <si>
    <t xml:space="preserve">Spare Tank Balance (L) </t>
  </si>
  <si>
    <t>ALL Total</t>
  </si>
  <si>
    <r>
      <rPr>
        <sz val="8"/>
        <color rgb="FF000000"/>
        <rFont val="Aptos Narrow"/>
      </rPr>
      <t xml:space="preserve">*Generator run hour ကို နာရီပြောင်းပြီး ဖြည့်ပေးပါ။ ဥပမာ။ 5:15 ဆိုရင် 5+(15/60)= </t>
    </r>
    <r>
      <rPr>
        <b/>
        <sz val="8"/>
        <color rgb="FFFF0000"/>
        <rFont val="Aptos Narrow"/>
      </rPr>
      <t>5.25 Hr</t>
    </r>
  </si>
  <si>
    <t>* spare tank balalce ကို site တစ်ခုအတွက် spare tank+drum အားလုံးစုစုပေါင်းပြီး တစ်ကြောင်းဘဲဖြည့်ပေးပါ။ Genrrator တစ်လုံးထက်ပိုသော site များအတွက် ကြိုက်ရာ generator တစ်ခု၏ဘေးတွင်ရေးပေးပါ။</t>
  </si>
  <si>
    <t>DC01 Factory</t>
  </si>
  <si>
    <t>Regular</t>
  </si>
  <si>
    <t>550 KVA - G1</t>
  </si>
  <si>
    <t>550 KVA - G2</t>
  </si>
  <si>
    <t>375 KVA - G3</t>
  </si>
  <si>
    <t>650 KVA - G4</t>
  </si>
  <si>
    <t>Mdy Factory</t>
  </si>
  <si>
    <t>220KVA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</si>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</sst>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</font>
    <font>
      <b/>
      <sz val="8"/>
      <color rgb="FFFF0000"/>
      <name val="Aptos Narrow"/>
    </font>
    <font>
      <sz val="8"/>
      <name val="Aptos Narrow"/>
    </font>
    <font>
      <b/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2" borderId="0" xfId="1" applyNumberFormat="1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vertical="center"/>
    </xf>
    <xf numFmtId="4" fontId="4" fillId="0" borderId="0" xfId="0" applyNumberFormat="1" applyFont="1"/>
    <xf numFmtId="4" fontId="4" fillId="0" borderId="0" xfId="1" applyNumberFormat="1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0" xfId="1" applyNumberFormat="1" applyFont="1" applyFill="1" applyAlignment="1">
      <alignment horizontal="right" vertical="center" wrapText="1"/>
    </xf>
    <xf numFmtId="4" fontId="4" fillId="0" borderId="0" xfId="0" applyNumberFormat="1" applyFont="1" applyAlignment="1">
      <alignment horizontal="center" vertical="center" textRotation="90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/>
    </xf>
    <xf numFmtId="3" fontId="4" fillId="2" borderId="0" xfId="1" applyNumberFormat="1" applyFont="1" applyFill="1" applyAlignment="1">
      <alignment horizontal="center" vertical="center" wrapText="1"/>
    </xf>
    <xf numFmtId="3" fontId="4" fillId="0" borderId="0" xfId="1" applyNumberFormat="1" applyFont="1" applyFill="1" applyAlignment="1">
      <alignment horizontal="center" vertical="center" wrapText="1"/>
    </xf>
    <xf numFmtId="3" fontId="4" fillId="0" borderId="0" xfId="1" applyNumberFormat="1" applyFont="1" applyFill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4" fontId="4" fillId="0" borderId="0" xfId="1" quotePrefix="1" applyNumberFormat="1" applyFont="1" applyFill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4" fontId="4" fillId="0" borderId="0" xfId="0" quotePrefix="1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3" fontId="4" fillId="0" borderId="0" xfId="1" applyNumberFormat="1" applyFont="1" applyFill="1" applyAlignment="1">
      <alignment horizontal="right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3" fontId="4" fillId="0" borderId="0" xfId="1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5C4E-6AD5-428C-B039-C976161E7D47}">
  <dimension ref="A1:AM70"/>
  <sheetViews>
    <sheetView tabSelected="1" workbookViewId="0">
      <pane xSplit="7" ySplit="7" topLeftCell="U8" activePane="bottomRight" state="frozen"/>
      <selection pane="bottomRight" activeCell="AF9" sqref="AF9"/>
      <selection pane="bottomLeft"/>
      <selection pane="topRight"/>
    </sheetView>
  </sheetViews>
  <sheetFormatPr defaultColWidth="9.85546875" defaultRowHeight="14.25"/>
  <cols>
    <col min="1" max="1" width="5.85546875" style="32" customWidth="1"/>
    <col min="2" max="2" width="12.28515625" style="3" customWidth="1"/>
    <col min="3" max="3" width="6.140625" style="3" customWidth="1"/>
    <col min="4" max="4" width="7.7109375" style="3" customWidth="1"/>
    <col min="5" max="5" width="7.42578125" style="3" customWidth="1"/>
    <col min="6" max="6" width="10.7109375" style="23" customWidth="1"/>
    <col min="7" max="7" width="9.28515625" style="23" bestFit="1" customWidth="1"/>
    <col min="8" max="8" width="14.85546875" style="3" customWidth="1"/>
    <col min="9" max="9" width="10" style="23" bestFit="1" customWidth="1"/>
    <col min="10" max="10" width="10" style="23" customWidth="1"/>
    <col min="11" max="11" width="8.28515625" style="23" customWidth="1"/>
    <col min="12" max="12" width="2.5703125" style="3" customWidth="1"/>
    <col min="13" max="13" width="9.42578125" style="3" customWidth="1"/>
    <col min="14" max="14" width="8.5703125" style="23" bestFit="1" customWidth="1"/>
    <col min="15" max="15" width="10.28515625" style="23" customWidth="1"/>
    <col min="16" max="16" width="7.7109375" style="23" customWidth="1"/>
    <col min="17" max="17" width="2.85546875" style="3" customWidth="1"/>
    <col min="18" max="18" width="9.85546875" style="3"/>
    <col min="19" max="20" width="9.85546875" style="23"/>
    <col min="21" max="21" width="7.5703125" style="23" customWidth="1"/>
    <col min="22" max="22" width="8" style="3" customWidth="1"/>
    <col min="23" max="23" width="9.85546875" style="3"/>
    <col min="24" max="25" width="9.85546875" style="23"/>
    <col min="26" max="26" width="7.85546875" style="23" customWidth="1"/>
    <col min="27" max="27" width="2.7109375" style="3" customWidth="1"/>
    <col min="28" max="28" width="9.85546875" style="3"/>
    <col min="29" max="30" width="9.85546875" style="23"/>
    <col min="31" max="31" width="7.85546875" style="3" customWidth="1"/>
    <col min="32" max="16384" width="9.85546875" style="3"/>
  </cols>
  <sheetData>
    <row r="1" spans="1:39" s="2" customFormat="1">
      <c r="A1" s="30" t="s">
        <v>0</v>
      </c>
      <c r="D1" s="1"/>
      <c r="E1" s="1"/>
      <c r="F1" s="20"/>
      <c r="G1" s="20"/>
      <c r="H1" s="3"/>
      <c r="I1" s="23"/>
      <c r="J1" s="23"/>
      <c r="K1" s="23"/>
      <c r="L1" s="3"/>
      <c r="M1" s="4"/>
      <c r="N1" s="7"/>
      <c r="O1" s="29"/>
      <c r="P1" s="29"/>
      <c r="S1" s="29"/>
      <c r="T1" s="29"/>
      <c r="U1" s="29"/>
      <c r="X1" s="29"/>
      <c r="Y1" s="29"/>
      <c r="Z1" s="29"/>
      <c r="AC1" s="29"/>
      <c r="AD1" s="29"/>
    </row>
    <row r="2" spans="1:39" s="2" customFormat="1" ht="37.5" customHeight="1">
      <c r="A2" s="50" t="s">
        <v>1</v>
      </c>
      <c r="B2" s="51" t="s">
        <v>2</v>
      </c>
      <c r="C2" s="42" t="s">
        <v>3</v>
      </c>
      <c r="D2" s="33" t="s">
        <v>4</v>
      </c>
      <c r="E2" s="33" t="s">
        <v>5</v>
      </c>
      <c r="F2" s="21" t="s">
        <v>6</v>
      </c>
      <c r="G2" s="22" t="s">
        <v>7</v>
      </c>
      <c r="H2" s="54">
        <v>46106</v>
      </c>
      <c r="I2" s="54"/>
      <c r="J2" s="54"/>
      <c r="K2" s="54"/>
      <c r="M2" s="45">
        <v>46107</v>
      </c>
      <c r="N2" s="45"/>
      <c r="O2" s="45"/>
      <c r="P2" s="45"/>
      <c r="R2" s="45">
        <v>46108</v>
      </c>
      <c r="S2" s="45"/>
      <c r="T2" s="52"/>
      <c r="U2" s="39"/>
      <c r="W2" s="45">
        <v>46109</v>
      </c>
      <c r="X2" s="45"/>
      <c r="Y2" s="45"/>
      <c r="Z2" s="45"/>
      <c r="AB2" s="45">
        <v>46110</v>
      </c>
      <c r="AC2" s="45"/>
      <c r="AD2" s="45"/>
      <c r="AE2" s="45"/>
      <c r="AF2" s="45">
        <v>46111</v>
      </c>
      <c r="AG2" s="45"/>
      <c r="AH2" s="45"/>
      <c r="AI2" s="45"/>
      <c r="AJ2" s="45">
        <v>46112</v>
      </c>
      <c r="AK2" s="45"/>
      <c r="AL2" s="45"/>
      <c r="AM2" s="45"/>
    </row>
    <row r="3" spans="1:39" s="2" customFormat="1" ht="51">
      <c r="A3" s="50"/>
      <c r="B3" s="51"/>
      <c r="C3" s="1"/>
      <c r="D3" s="33" t="s">
        <v>8</v>
      </c>
      <c r="E3" s="33" t="s">
        <v>8</v>
      </c>
      <c r="F3" s="21" t="s">
        <v>9</v>
      </c>
      <c r="G3" s="21" t="s">
        <v>10</v>
      </c>
      <c r="H3" s="5" t="s">
        <v>11</v>
      </c>
      <c r="I3" s="21" t="s">
        <v>12</v>
      </c>
      <c r="J3" s="21" t="s">
        <v>13</v>
      </c>
      <c r="K3" s="21" t="s">
        <v>14</v>
      </c>
      <c r="M3" s="5" t="s">
        <v>11</v>
      </c>
      <c r="N3" s="21" t="s">
        <v>12</v>
      </c>
      <c r="O3" s="21" t="s">
        <v>15</v>
      </c>
      <c r="P3" s="21" t="s">
        <v>14</v>
      </c>
      <c r="R3" s="5" t="s">
        <v>11</v>
      </c>
      <c r="S3" s="21" t="s">
        <v>12</v>
      </c>
      <c r="T3" s="21" t="s">
        <v>15</v>
      </c>
      <c r="U3" s="21" t="s">
        <v>14</v>
      </c>
      <c r="W3" s="5" t="s">
        <v>11</v>
      </c>
      <c r="X3" s="21" t="s">
        <v>12</v>
      </c>
      <c r="Y3" s="21" t="s">
        <v>15</v>
      </c>
      <c r="Z3" s="21" t="s">
        <v>14</v>
      </c>
      <c r="AB3" s="5" t="s">
        <v>11</v>
      </c>
      <c r="AC3" s="21" t="s">
        <v>12</v>
      </c>
      <c r="AD3" s="21" t="s">
        <v>15</v>
      </c>
      <c r="AE3" s="21" t="s">
        <v>14</v>
      </c>
      <c r="AF3" s="5" t="s">
        <v>11</v>
      </c>
      <c r="AG3" s="21" t="s">
        <v>12</v>
      </c>
      <c r="AH3" s="21" t="s">
        <v>15</v>
      </c>
      <c r="AI3" s="21" t="s">
        <v>14</v>
      </c>
      <c r="AJ3" s="5" t="s">
        <v>11</v>
      </c>
      <c r="AK3" s="21" t="s">
        <v>12</v>
      </c>
      <c r="AL3" s="21" t="s">
        <v>15</v>
      </c>
      <c r="AM3" s="21" t="s">
        <v>14</v>
      </c>
    </row>
    <row r="4" spans="1:39" s="11" customFormat="1" ht="13.5">
      <c r="B4" s="11" t="s">
        <v>16</v>
      </c>
      <c r="H4" s="12">
        <f>SUM(H8:H60)</f>
        <v>6.7200000000000006</v>
      </c>
      <c r="I4" s="24">
        <f>SUM(I8:I60)</f>
        <v>0</v>
      </c>
      <c r="J4" s="24">
        <f>SUM(J8:J60)</f>
        <v>6479</v>
      </c>
      <c r="K4" s="24"/>
      <c r="L4" s="12"/>
      <c r="M4" s="12">
        <f>SUM(M8:M60)</f>
        <v>19.649999999999999</v>
      </c>
      <c r="N4" s="24">
        <f>SUM(N8:N60)</f>
        <v>267.5</v>
      </c>
      <c r="O4" s="24">
        <f>SUM(O8:O60)</f>
        <v>6324</v>
      </c>
      <c r="P4" s="24"/>
      <c r="Q4" s="13"/>
      <c r="R4" s="12">
        <f>SUM(R8:R60)</f>
        <v>5.16</v>
      </c>
      <c r="S4" s="24">
        <f>SUM(S8:S60)</f>
        <v>145</v>
      </c>
      <c r="T4" s="24">
        <f>SUM(T8:T60)</f>
        <v>6179</v>
      </c>
      <c r="U4" s="24"/>
      <c r="V4" s="13"/>
      <c r="W4" s="12">
        <f>SUM(W8:W60)</f>
        <v>21.55</v>
      </c>
      <c r="X4" s="24">
        <f>SUM(X8:X60)</f>
        <v>645</v>
      </c>
      <c r="Y4" s="24">
        <f>SUM(Y8:Y60)</f>
        <v>6734</v>
      </c>
      <c r="Z4" s="24"/>
      <c r="AA4" s="13"/>
      <c r="AB4" s="12">
        <f>SUM(AB8:AB60)</f>
        <v>8.9499999999999993</v>
      </c>
      <c r="AC4" s="24">
        <f>SUM(AC8:AC60)</f>
        <v>360</v>
      </c>
      <c r="AD4" s="24">
        <f>SUM(AD8:AD60)</f>
        <v>6374</v>
      </c>
      <c r="AE4" s="13"/>
      <c r="AF4" s="12">
        <f>SUM(AF8:AF60)</f>
        <v>1.75</v>
      </c>
      <c r="AG4" s="24">
        <f>SUM(AG8:AG60)</f>
        <v>0</v>
      </c>
      <c r="AH4" s="24">
        <f>SUM(AH8:AH60)</f>
        <v>0</v>
      </c>
      <c r="AI4" s="13"/>
      <c r="AJ4" s="12">
        <f>SUM(AJ8:AJ60)</f>
        <v>0</v>
      </c>
      <c r="AK4" s="24">
        <f>SUM(AK8:AK60)</f>
        <v>0</v>
      </c>
      <c r="AL4" s="24">
        <f>SUM(AL8:AL60)</f>
        <v>0</v>
      </c>
      <c r="AM4" s="13"/>
    </row>
    <row r="5" spans="1:39" s="11" customFormat="1" ht="13.5">
      <c r="A5" s="34"/>
      <c r="B5" s="34"/>
      <c r="C5" s="34"/>
      <c r="D5" s="34"/>
      <c r="E5" s="34"/>
      <c r="F5" s="34"/>
      <c r="G5" s="34"/>
      <c r="H5" s="36"/>
      <c r="I5" s="25"/>
      <c r="J5" s="25"/>
      <c r="K5" s="25"/>
      <c r="L5" s="36"/>
      <c r="M5" s="36"/>
      <c r="N5" s="25"/>
      <c r="O5" s="25"/>
      <c r="P5" s="25"/>
      <c r="S5" s="25"/>
      <c r="T5" s="25"/>
      <c r="U5" s="25"/>
      <c r="X5" s="25"/>
      <c r="Y5" s="25"/>
      <c r="Z5" s="25"/>
      <c r="AC5" s="25"/>
      <c r="AD5" s="25"/>
    </row>
    <row r="6" spans="1:39">
      <c r="A6" s="31"/>
      <c r="B6" s="1"/>
      <c r="C6" s="1"/>
      <c r="D6" s="1"/>
      <c r="E6" s="1"/>
      <c r="F6" s="20"/>
      <c r="G6" s="20"/>
      <c r="H6" s="40" t="s">
        <v>17</v>
      </c>
      <c r="I6" s="25"/>
      <c r="J6" s="25"/>
      <c r="K6" s="25"/>
      <c r="L6" s="9"/>
      <c r="M6" s="8"/>
      <c r="N6" s="25"/>
    </row>
    <row r="7" spans="1:39" ht="13.5">
      <c r="H7" s="10" t="s">
        <v>18</v>
      </c>
    </row>
    <row r="8" spans="1:39" s="11" customFormat="1" ht="15">
      <c r="A8" s="6">
        <v>1</v>
      </c>
      <c r="B8" s="37" t="s">
        <v>19</v>
      </c>
      <c r="C8" s="37" t="s">
        <v>20</v>
      </c>
      <c r="D8" s="14"/>
      <c r="E8" s="14"/>
      <c r="F8" s="38" t="s">
        <v>21</v>
      </c>
      <c r="G8" s="7">
        <v>15</v>
      </c>
      <c r="H8" s="15"/>
      <c r="I8" s="26"/>
      <c r="J8" s="49">
        <v>6479</v>
      </c>
      <c r="K8" s="53"/>
      <c r="M8" s="15"/>
      <c r="N8" s="26"/>
      <c r="O8" s="46">
        <v>6324</v>
      </c>
      <c r="P8" s="53"/>
      <c r="S8" s="23"/>
      <c r="T8" s="46">
        <f>1275+1570+3334</f>
        <v>6179</v>
      </c>
      <c r="U8" s="47"/>
      <c r="W8" s="44"/>
      <c r="X8" s="23"/>
      <c r="Y8" s="46">
        <f>1650+1750+3334</f>
        <v>6734</v>
      </c>
      <c r="Z8" s="47"/>
      <c r="AB8" s="44">
        <v>1.3</v>
      </c>
      <c r="AC8" s="23"/>
      <c r="AD8" s="47">
        <f>1290+1750+3334</f>
        <v>6374</v>
      </c>
      <c r="AF8" s="11">
        <v>1.3</v>
      </c>
      <c r="AH8" s="48"/>
      <c r="AL8" s="48"/>
    </row>
    <row r="9" spans="1:39" s="11" customFormat="1" ht="15">
      <c r="A9" s="6">
        <v>2</v>
      </c>
      <c r="B9" s="37" t="s">
        <v>19</v>
      </c>
      <c r="C9" s="37" t="s">
        <v>20</v>
      </c>
      <c r="D9" s="14"/>
      <c r="E9" s="14"/>
      <c r="F9" s="38" t="s">
        <v>22</v>
      </c>
      <c r="G9" s="7">
        <v>15</v>
      </c>
      <c r="H9" s="41">
        <v>1</v>
      </c>
      <c r="I9" s="26"/>
      <c r="J9" s="49"/>
      <c r="K9" s="53"/>
      <c r="M9" s="41">
        <v>4.6500000000000004</v>
      </c>
      <c r="N9" s="26">
        <v>155</v>
      </c>
      <c r="O9" s="46"/>
      <c r="P9" s="53"/>
      <c r="R9" s="43">
        <v>4.05</v>
      </c>
      <c r="S9" s="23">
        <v>145</v>
      </c>
      <c r="T9" s="46"/>
      <c r="U9" s="47"/>
      <c r="W9" s="44">
        <v>9</v>
      </c>
      <c r="X9" s="23">
        <v>225</v>
      </c>
      <c r="Y9" s="46"/>
      <c r="Z9" s="47"/>
      <c r="AB9" s="44">
        <v>6.3</v>
      </c>
      <c r="AC9" s="23">
        <v>360</v>
      </c>
      <c r="AD9" s="47"/>
      <c r="AF9" s="11">
        <v>0.45</v>
      </c>
      <c r="AH9" s="48"/>
      <c r="AL9" s="48"/>
    </row>
    <row r="10" spans="1:39" s="11" customFormat="1" ht="14.45" customHeight="1">
      <c r="A10" s="6">
        <v>3</v>
      </c>
      <c r="B10" s="37" t="s">
        <v>19</v>
      </c>
      <c r="C10" s="37" t="s">
        <v>20</v>
      </c>
      <c r="F10" s="38" t="s">
        <v>23</v>
      </c>
      <c r="G10" s="7">
        <v>12</v>
      </c>
      <c r="H10" s="18"/>
      <c r="I10" s="26"/>
      <c r="J10" s="49"/>
      <c r="K10" s="53"/>
      <c r="M10" s="18"/>
      <c r="N10" s="26"/>
      <c r="O10" s="46"/>
      <c r="P10" s="53"/>
      <c r="S10" s="23"/>
      <c r="T10" s="46"/>
      <c r="U10" s="47"/>
      <c r="W10" s="44"/>
      <c r="X10" s="23"/>
      <c r="Y10" s="46"/>
      <c r="Z10" s="47"/>
      <c r="AB10" s="44"/>
      <c r="AC10" s="23"/>
      <c r="AD10" s="47"/>
      <c r="AH10" s="48"/>
      <c r="AL10" s="48"/>
    </row>
    <row r="11" spans="1:39" s="11" customFormat="1" ht="15">
      <c r="A11" s="6">
        <v>4</v>
      </c>
      <c r="B11" s="37" t="s">
        <v>19</v>
      </c>
      <c r="C11" s="37" t="s">
        <v>20</v>
      </c>
      <c r="D11" s="14"/>
      <c r="E11" s="14"/>
      <c r="F11" s="38" t="s">
        <v>24</v>
      </c>
      <c r="G11" s="7">
        <v>20</v>
      </c>
      <c r="H11" s="41">
        <v>0.6</v>
      </c>
      <c r="I11" s="26"/>
      <c r="J11" s="49"/>
      <c r="K11" s="53"/>
      <c r="M11" s="41">
        <v>3.5</v>
      </c>
      <c r="N11" s="26"/>
      <c r="O11" s="46"/>
      <c r="P11" s="53"/>
      <c r="S11" s="23"/>
      <c r="T11" s="46"/>
      <c r="U11" s="47"/>
      <c r="W11" s="44">
        <v>6.55</v>
      </c>
      <c r="X11" s="23">
        <v>420</v>
      </c>
      <c r="Y11" s="46"/>
      <c r="Z11" s="47"/>
      <c r="AB11" s="44">
        <v>1.35</v>
      </c>
      <c r="AC11" s="23"/>
      <c r="AD11" s="47"/>
      <c r="AH11" s="48"/>
      <c r="AL11" s="48"/>
    </row>
    <row r="12" spans="1:39" s="11" customFormat="1" ht="15">
      <c r="A12" s="6">
        <v>5</v>
      </c>
      <c r="B12" s="37" t="s">
        <v>25</v>
      </c>
      <c r="C12" s="37" t="s">
        <v>20</v>
      </c>
      <c r="D12" s="14"/>
      <c r="E12" s="14"/>
      <c r="F12" s="38" t="s">
        <v>26</v>
      </c>
      <c r="G12" s="7">
        <v>10</v>
      </c>
      <c r="H12" s="18">
        <v>5.12</v>
      </c>
      <c r="I12" s="26" t="s">
        <v>27</v>
      </c>
      <c r="J12" s="26"/>
      <c r="K12" s="26"/>
      <c r="M12" s="18">
        <v>11.5</v>
      </c>
      <c r="N12" s="26">
        <v>112.5</v>
      </c>
      <c r="O12" s="23"/>
      <c r="P12" s="23"/>
      <c r="R12" s="11">
        <v>1.1100000000000001</v>
      </c>
      <c r="S12" s="23"/>
      <c r="T12" s="23"/>
      <c r="U12" s="23"/>
      <c r="W12" s="44">
        <v>6</v>
      </c>
      <c r="X12" s="23"/>
      <c r="Y12" s="23"/>
      <c r="Z12" s="23"/>
      <c r="AB12" s="44"/>
      <c r="AC12" s="23"/>
      <c r="AD12" s="23"/>
    </row>
    <row r="13" spans="1:39" s="11" customFormat="1" ht="15">
      <c r="A13" s="6">
        <v>6</v>
      </c>
      <c r="B13"/>
      <c r="C13" s="37"/>
      <c r="D13" s="14"/>
      <c r="E13" s="14"/>
      <c r="F13" s="38"/>
      <c r="G13" s="7"/>
      <c r="H13" s="15"/>
      <c r="I13" s="26"/>
      <c r="J13" s="26"/>
      <c r="K13" s="26"/>
      <c r="M13" s="15"/>
      <c r="N13" s="26"/>
      <c r="O13" s="23"/>
      <c r="P13" s="23"/>
      <c r="S13" s="23"/>
      <c r="T13" s="23"/>
      <c r="U13" s="23"/>
      <c r="X13" s="23"/>
      <c r="Y13" s="23"/>
      <c r="Z13" s="23"/>
      <c r="AC13" s="23"/>
      <c r="AD13" s="23"/>
    </row>
    <row r="14" spans="1:39" s="11" customFormat="1" ht="15">
      <c r="A14" s="6">
        <v>7</v>
      </c>
      <c r="B14"/>
      <c r="C14" s="37"/>
      <c r="D14" s="14"/>
      <c r="E14" s="14"/>
      <c r="F14" s="38"/>
      <c r="G14" s="7"/>
      <c r="H14" s="15"/>
      <c r="I14" s="26"/>
      <c r="J14" s="26"/>
      <c r="K14" s="26"/>
      <c r="M14" s="15"/>
      <c r="N14" s="26"/>
      <c r="O14" s="23"/>
      <c r="P14" s="23"/>
      <c r="S14" s="23"/>
      <c r="T14" s="23"/>
      <c r="U14" s="23"/>
      <c r="X14" s="23"/>
      <c r="Y14" s="23"/>
      <c r="Z14" s="23"/>
      <c r="AC14" s="23"/>
      <c r="AD14" s="23"/>
    </row>
    <row r="15" spans="1:39" s="11" customFormat="1" ht="15">
      <c r="A15" s="6">
        <v>8</v>
      </c>
      <c r="B15"/>
      <c r="C15" s="37"/>
      <c r="D15" s="14"/>
      <c r="E15" s="14"/>
      <c r="F15" s="38"/>
      <c r="G15" s="7"/>
      <c r="H15" s="15"/>
      <c r="I15" s="26"/>
      <c r="J15" s="26"/>
      <c r="K15" s="26"/>
      <c r="M15" s="15"/>
      <c r="N15" s="26"/>
      <c r="O15" s="23"/>
      <c r="P15" s="23"/>
      <c r="S15" s="23"/>
      <c r="T15" s="23"/>
      <c r="U15" s="23"/>
      <c r="X15" s="23"/>
      <c r="Y15" s="23"/>
      <c r="Z15" s="23"/>
      <c r="AC15" s="23"/>
      <c r="AD15" s="23"/>
    </row>
    <row r="16" spans="1:39" s="11" customFormat="1" ht="15">
      <c r="A16" s="6">
        <v>9</v>
      </c>
      <c r="B16"/>
      <c r="C16" s="37"/>
      <c r="D16" s="14"/>
      <c r="E16" s="14"/>
      <c r="F16" s="38"/>
      <c r="G16" s="7"/>
      <c r="H16" s="15"/>
      <c r="I16" s="26"/>
      <c r="J16" s="26"/>
      <c r="K16" s="26"/>
      <c r="M16" s="15"/>
      <c r="N16" s="26"/>
      <c r="O16" s="23"/>
      <c r="P16" s="23"/>
      <c r="S16" s="23"/>
      <c r="T16" s="23"/>
      <c r="U16" s="23"/>
      <c r="V16" s="23"/>
      <c r="Y16" s="23"/>
      <c r="Z16" s="23"/>
      <c r="AC16" s="23"/>
      <c r="AD16" s="23"/>
    </row>
    <row r="17" spans="1:30" s="11" customFormat="1" ht="15">
      <c r="A17" s="6">
        <v>10</v>
      </c>
      <c r="B17"/>
      <c r="C17" s="37"/>
      <c r="D17" s="14"/>
      <c r="E17" s="14"/>
      <c r="F17" s="38"/>
      <c r="G17" s="7"/>
      <c r="H17" s="15"/>
      <c r="I17" s="26"/>
      <c r="J17" s="26"/>
      <c r="K17" s="26"/>
      <c r="M17" s="15"/>
      <c r="N17" s="26"/>
      <c r="O17" s="23"/>
      <c r="P17" s="23"/>
      <c r="S17" s="23"/>
      <c r="T17" s="23"/>
      <c r="U17" s="23"/>
      <c r="X17" s="23"/>
      <c r="Y17" s="23"/>
      <c r="Z17" s="23"/>
      <c r="AC17" s="23"/>
      <c r="AD17" s="23"/>
    </row>
    <row r="18" spans="1:30" s="11" customFormat="1" ht="15">
      <c r="A18" s="6">
        <v>11</v>
      </c>
      <c r="B18"/>
      <c r="C18" s="37"/>
      <c r="D18" s="14"/>
      <c r="E18" s="14"/>
      <c r="F18" s="38"/>
      <c r="G18" s="7"/>
      <c r="H18" s="15"/>
      <c r="I18" s="26"/>
      <c r="J18" s="26"/>
      <c r="K18" s="26"/>
      <c r="M18" s="15"/>
      <c r="N18" s="26"/>
      <c r="O18" s="23"/>
      <c r="P18" s="23"/>
      <c r="S18" s="23"/>
      <c r="T18" s="23"/>
      <c r="U18" s="23"/>
      <c r="X18" s="23"/>
      <c r="Y18" s="23"/>
      <c r="Z18" s="23"/>
      <c r="AC18" s="23"/>
      <c r="AD18" s="23"/>
    </row>
    <row r="19" spans="1:30" s="11" customFormat="1" ht="15">
      <c r="A19" s="6"/>
      <c r="B19"/>
      <c r="C19" s="37"/>
      <c r="D19" s="14"/>
      <c r="E19" s="14"/>
      <c r="F19" s="38"/>
      <c r="G19" s="7"/>
      <c r="H19" s="15"/>
      <c r="I19" s="26"/>
      <c r="J19" s="26"/>
      <c r="K19" s="26"/>
      <c r="M19" s="15"/>
      <c r="N19" s="26"/>
      <c r="O19" s="23"/>
      <c r="P19" s="23"/>
      <c r="S19" s="23"/>
      <c r="T19" s="23"/>
      <c r="U19" s="23"/>
      <c r="X19" s="23"/>
      <c r="Y19" s="23"/>
      <c r="Z19" s="23"/>
      <c r="AC19" s="23"/>
      <c r="AD19" s="23"/>
    </row>
    <row r="20" spans="1:30" s="11" customFormat="1" ht="15">
      <c r="A20" s="6"/>
      <c r="B20"/>
      <c r="C20" s="37"/>
      <c r="D20" s="14"/>
      <c r="E20" s="14"/>
      <c r="F20" s="38"/>
      <c r="G20" s="7"/>
      <c r="H20" s="16"/>
      <c r="I20" s="27"/>
      <c r="J20" s="27"/>
      <c r="K20" s="27"/>
      <c r="M20" s="17"/>
      <c r="N20" s="28"/>
      <c r="O20" s="23"/>
      <c r="P20" s="23"/>
      <c r="S20" s="23"/>
      <c r="T20" s="23"/>
      <c r="U20" s="23"/>
      <c r="X20" s="23"/>
      <c r="Y20" s="23"/>
      <c r="Z20" s="23"/>
      <c r="AC20" s="23"/>
      <c r="AD20" s="23"/>
    </row>
    <row r="21" spans="1:30" s="11" customFormat="1" ht="15">
      <c r="A21" s="6"/>
      <c r="B21"/>
      <c r="C21" s="37"/>
      <c r="D21" s="14"/>
      <c r="E21" s="14"/>
      <c r="F21" s="38"/>
      <c r="G21" s="7"/>
      <c r="H21" s="16"/>
      <c r="I21" s="27"/>
      <c r="J21" s="27"/>
      <c r="K21" s="27"/>
      <c r="M21" s="17"/>
      <c r="N21" s="28"/>
      <c r="O21" s="23"/>
      <c r="P21" s="23"/>
      <c r="S21" s="23"/>
      <c r="T21" s="23"/>
      <c r="U21" s="23"/>
      <c r="X21" s="23"/>
      <c r="Y21" s="23"/>
      <c r="Z21" s="23"/>
      <c r="AC21" s="23"/>
      <c r="AD21" s="23"/>
    </row>
    <row r="22" spans="1:30" s="11" customFormat="1" ht="15">
      <c r="A22" s="6"/>
      <c r="B22"/>
      <c r="C22" s="37"/>
      <c r="D22" s="14"/>
      <c r="E22" s="14"/>
      <c r="F22" s="38"/>
      <c r="G22" s="7"/>
      <c r="H22" s="16"/>
      <c r="I22" s="27"/>
      <c r="J22" s="27"/>
      <c r="K22" s="27"/>
      <c r="M22" s="17"/>
      <c r="N22" s="28"/>
      <c r="O22" s="23"/>
      <c r="P22" s="23"/>
      <c r="S22" s="23"/>
      <c r="T22" s="23"/>
      <c r="U22" s="23"/>
      <c r="X22" s="23"/>
      <c r="Y22" s="23"/>
      <c r="Z22" s="23"/>
      <c r="AC22" s="23"/>
      <c r="AD22" s="23"/>
    </row>
    <row r="23" spans="1:30" s="11" customFormat="1" ht="15">
      <c r="A23" s="6"/>
      <c r="B23"/>
      <c r="C23" s="37"/>
      <c r="D23" s="14"/>
      <c r="E23" s="14"/>
      <c r="F23" s="38"/>
      <c r="G23" s="7"/>
      <c r="H23" s="16"/>
      <c r="I23" s="27"/>
      <c r="J23" s="27"/>
      <c r="K23" s="27"/>
      <c r="M23" s="17"/>
      <c r="N23" s="28"/>
      <c r="O23" s="23"/>
      <c r="P23" s="23"/>
      <c r="S23" s="23"/>
      <c r="T23" s="23"/>
      <c r="U23" s="23"/>
      <c r="X23" s="23"/>
      <c r="Y23" s="23"/>
      <c r="Z23" s="23"/>
      <c r="AC23" s="23"/>
      <c r="AD23" s="23"/>
    </row>
    <row r="24" spans="1:30" s="11" customFormat="1" ht="15">
      <c r="A24" s="6"/>
      <c r="B24"/>
      <c r="C24" s="37"/>
      <c r="D24" s="14"/>
      <c r="E24" s="14"/>
      <c r="F24" s="38"/>
      <c r="G24" s="7"/>
      <c r="H24" s="16"/>
      <c r="I24" s="27"/>
      <c r="J24" s="27"/>
      <c r="K24" s="27"/>
      <c r="M24" s="17"/>
      <c r="N24" s="28"/>
      <c r="O24" s="23"/>
      <c r="P24" s="23"/>
      <c r="S24" s="23"/>
      <c r="T24" s="23"/>
      <c r="U24" s="23"/>
      <c r="X24" s="23"/>
      <c r="Y24" s="23"/>
      <c r="Z24" s="23"/>
      <c r="AC24" s="23"/>
      <c r="AD24" s="23"/>
    </row>
    <row r="25" spans="1:30" s="11" customFormat="1" ht="15">
      <c r="A25" s="6"/>
      <c r="B25"/>
      <c r="C25" s="37"/>
      <c r="D25" s="14"/>
      <c r="E25" s="14"/>
      <c r="F25" s="38"/>
      <c r="G25" s="7"/>
      <c r="H25" s="16"/>
      <c r="I25" s="27"/>
      <c r="J25" s="27"/>
      <c r="K25" s="27"/>
      <c r="M25" s="18"/>
      <c r="N25" s="28"/>
      <c r="O25" s="23"/>
      <c r="P25" s="23"/>
      <c r="S25" s="23"/>
      <c r="T25" s="23"/>
      <c r="U25" s="23"/>
      <c r="X25" s="23"/>
      <c r="Y25" s="23"/>
      <c r="Z25" s="23"/>
      <c r="AC25" s="23"/>
      <c r="AD25" s="23"/>
    </row>
    <row r="26" spans="1:30" s="11" customFormat="1" ht="15">
      <c r="A26" s="6"/>
      <c r="B26"/>
      <c r="C26" s="37"/>
      <c r="D26" s="14"/>
      <c r="E26" s="14"/>
      <c r="F26" s="38"/>
      <c r="G26" s="7"/>
      <c r="H26" s="16"/>
      <c r="I26" s="27"/>
      <c r="J26" s="27"/>
      <c r="K26" s="27"/>
      <c r="M26" s="17"/>
      <c r="N26" s="28"/>
      <c r="O26" s="23"/>
      <c r="P26" s="23"/>
      <c r="S26" s="23"/>
      <c r="T26" s="23"/>
      <c r="U26" s="23"/>
      <c r="X26" s="23"/>
      <c r="Y26" s="23"/>
      <c r="Z26" s="23"/>
      <c r="AC26" s="23"/>
      <c r="AD26" s="23"/>
    </row>
    <row r="27" spans="1:30" s="11" customFormat="1" ht="15">
      <c r="A27" s="6"/>
      <c r="B27"/>
      <c r="C27" s="37"/>
      <c r="D27" s="14"/>
      <c r="E27" s="14"/>
      <c r="F27" s="38"/>
      <c r="G27" s="7"/>
      <c r="H27" s="16"/>
      <c r="I27" s="27"/>
      <c r="J27" s="27"/>
      <c r="K27" s="27"/>
      <c r="M27" s="17"/>
      <c r="N27" s="28"/>
      <c r="O27" s="23"/>
      <c r="P27" s="23"/>
      <c r="S27" s="23"/>
      <c r="T27" s="23"/>
      <c r="U27" s="23"/>
      <c r="X27" s="23"/>
      <c r="Y27" s="23"/>
      <c r="Z27" s="23"/>
      <c r="AC27" s="23"/>
      <c r="AD27" s="23"/>
    </row>
    <row r="28" spans="1:30" s="11" customFormat="1" ht="15">
      <c r="A28" s="6"/>
      <c r="B28"/>
      <c r="C28" s="37"/>
      <c r="D28" s="14"/>
      <c r="E28" s="14"/>
      <c r="F28" s="38"/>
      <c r="G28" s="7"/>
      <c r="H28" s="16"/>
      <c r="I28" s="27"/>
      <c r="J28" s="27"/>
      <c r="K28" s="27"/>
      <c r="M28" s="17"/>
      <c r="N28" s="28"/>
      <c r="O28" s="23"/>
      <c r="P28" s="23"/>
      <c r="S28" s="23"/>
      <c r="T28" s="23"/>
      <c r="U28" s="23"/>
      <c r="X28" s="23"/>
      <c r="Y28" s="23"/>
      <c r="Z28" s="23"/>
      <c r="AC28" s="23"/>
      <c r="AD28" s="23"/>
    </row>
    <row r="29" spans="1:30" s="11" customFormat="1" ht="15">
      <c r="A29" s="6"/>
      <c r="B29"/>
      <c r="C29" s="37"/>
      <c r="D29" s="19"/>
      <c r="E29" s="19"/>
      <c r="F29" s="38"/>
      <c r="G29" s="7"/>
      <c r="H29" s="16"/>
      <c r="I29" s="27"/>
      <c r="J29" s="27"/>
      <c r="K29" s="27"/>
      <c r="M29" s="17"/>
      <c r="N29" s="28"/>
      <c r="O29" s="23"/>
      <c r="P29" s="23"/>
      <c r="S29" s="23"/>
      <c r="T29" s="23"/>
      <c r="U29" s="23"/>
      <c r="X29" s="23"/>
      <c r="Y29" s="23"/>
      <c r="Z29" s="23"/>
      <c r="AC29" s="23"/>
      <c r="AD29" s="23"/>
    </row>
    <row r="30" spans="1:30" s="11" customFormat="1" ht="15">
      <c r="A30" s="6"/>
      <c r="B30"/>
      <c r="C30" s="37"/>
      <c r="D30" s="19"/>
      <c r="E30" s="19"/>
      <c r="F30" s="38"/>
      <c r="G30" s="7"/>
      <c r="I30" s="23"/>
      <c r="J30" s="23"/>
      <c r="K30" s="23"/>
      <c r="M30" s="35"/>
      <c r="N30" s="7"/>
      <c r="O30" s="23"/>
      <c r="P30" s="23"/>
      <c r="S30" s="23"/>
      <c r="T30" s="23"/>
      <c r="U30" s="23"/>
      <c r="X30" s="23"/>
      <c r="Y30" s="23"/>
      <c r="Z30" s="23"/>
      <c r="AC30" s="23"/>
      <c r="AD30" s="23"/>
    </row>
    <row r="31" spans="1:30" s="11" customFormat="1" ht="15">
      <c r="A31" s="6"/>
      <c r="B31"/>
      <c r="C31" s="37"/>
      <c r="F31" s="38"/>
      <c r="G31" s="7"/>
      <c r="I31" s="23"/>
      <c r="J31" s="23"/>
      <c r="K31" s="23"/>
      <c r="N31" s="23"/>
      <c r="O31" s="23"/>
      <c r="P31" s="23"/>
      <c r="S31" s="23"/>
      <c r="T31" s="23"/>
      <c r="U31" s="23"/>
      <c r="X31" s="23"/>
      <c r="Y31" s="23"/>
      <c r="Z31" s="23"/>
      <c r="AC31" s="23"/>
      <c r="AD31" s="23"/>
    </row>
    <row r="32" spans="1:30" s="11" customFormat="1" ht="15">
      <c r="A32" s="6"/>
      <c r="B32"/>
      <c r="C32" s="37"/>
      <c r="F32" s="38"/>
      <c r="G32" s="7"/>
      <c r="I32" s="23"/>
      <c r="J32" s="23"/>
      <c r="K32" s="23"/>
      <c r="N32" s="23"/>
      <c r="O32" s="23"/>
      <c r="P32" s="23"/>
      <c r="S32" s="23"/>
      <c r="T32" s="23"/>
      <c r="U32" s="23"/>
      <c r="X32" s="23"/>
      <c r="Y32" s="23"/>
      <c r="Z32" s="23"/>
      <c r="AC32" s="23"/>
      <c r="AD32" s="23"/>
    </row>
    <row r="33" spans="1:30" s="11" customFormat="1" ht="15">
      <c r="A33" s="6"/>
      <c r="B33"/>
      <c r="C33" s="37"/>
      <c r="F33" s="38"/>
      <c r="G33" s="7"/>
      <c r="I33" s="23"/>
      <c r="J33" s="23"/>
      <c r="K33" s="23"/>
      <c r="N33" s="23"/>
      <c r="O33" s="23"/>
      <c r="P33" s="23"/>
      <c r="S33" s="23"/>
      <c r="T33" s="23"/>
      <c r="U33" s="23"/>
      <c r="X33" s="23"/>
      <c r="Y33" s="23"/>
      <c r="Z33" s="23"/>
      <c r="AC33" s="23"/>
      <c r="AD33" s="23"/>
    </row>
    <row r="34" spans="1:30" s="11" customFormat="1" ht="15">
      <c r="A34" s="6"/>
      <c r="B34"/>
      <c r="C34" s="37"/>
      <c r="F34" s="38"/>
      <c r="G34" s="7"/>
      <c r="I34" s="23"/>
      <c r="J34" s="23"/>
      <c r="K34" s="23"/>
      <c r="N34" s="23"/>
      <c r="O34" s="23"/>
      <c r="P34" s="23"/>
      <c r="S34" s="23"/>
      <c r="T34" s="23"/>
      <c r="U34" s="23"/>
      <c r="X34" s="23"/>
      <c r="Y34" s="23"/>
      <c r="Z34" s="23"/>
      <c r="AC34" s="23"/>
      <c r="AD34" s="23"/>
    </row>
    <row r="35" spans="1:30" s="11" customFormat="1" ht="15">
      <c r="A35" s="6"/>
      <c r="B35"/>
      <c r="C35" s="37"/>
      <c r="F35" s="38"/>
      <c r="G35" s="7"/>
      <c r="I35" s="23"/>
      <c r="J35" s="23"/>
      <c r="K35" s="23"/>
      <c r="N35" s="23"/>
      <c r="O35" s="23"/>
      <c r="P35" s="23"/>
      <c r="S35" s="23"/>
      <c r="T35" s="23"/>
      <c r="U35" s="23"/>
      <c r="X35" s="23"/>
      <c r="Y35" s="23"/>
      <c r="Z35" s="23"/>
      <c r="AC35" s="23"/>
      <c r="AD35" s="23"/>
    </row>
    <row r="36" spans="1:30" s="11" customFormat="1" ht="15">
      <c r="A36" s="6"/>
      <c r="B36"/>
      <c r="C36" s="37"/>
      <c r="F36" s="38"/>
      <c r="G36" s="7"/>
      <c r="I36" s="23"/>
      <c r="J36" s="23"/>
      <c r="K36" s="23"/>
      <c r="N36" s="23"/>
      <c r="O36" s="23"/>
      <c r="P36" s="23"/>
      <c r="S36" s="23"/>
      <c r="T36" s="23"/>
      <c r="U36" s="23"/>
      <c r="X36" s="23"/>
      <c r="Y36" s="23"/>
      <c r="Z36" s="23"/>
      <c r="AC36" s="23"/>
      <c r="AD36" s="23"/>
    </row>
    <row r="37" spans="1:30" s="11" customFormat="1" ht="15">
      <c r="A37" s="6"/>
      <c r="B37"/>
      <c r="C37" s="37"/>
      <c r="F37" s="38"/>
      <c r="G37" s="7"/>
      <c r="I37" s="23"/>
      <c r="J37" s="23"/>
      <c r="K37" s="23"/>
      <c r="N37" s="23"/>
      <c r="O37" s="23"/>
      <c r="P37" s="23"/>
      <c r="S37" s="23"/>
      <c r="T37" s="23"/>
      <c r="U37" s="23"/>
      <c r="X37" s="23"/>
      <c r="Y37" s="23"/>
      <c r="Z37" s="23"/>
      <c r="AC37" s="23"/>
      <c r="AD37" s="23"/>
    </row>
    <row r="38" spans="1:30" s="11" customFormat="1" ht="15">
      <c r="A38" s="6"/>
      <c r="B38"/>
      <c r="C38" s="37"/>
      <c r="F38" s="38"/>
      <c r="G38" s="7"/>
      <c r="I38" s="23"/>
      <c r="J38" s="23"/>
      <c r="K38" s="23"/>
      <c r="N38" s="23"/>
      <c r="O38" s="23"/>
      <c r="P38" s="23"/>
      <c r="S38" s="23"/>
      <c r="T38" s="23"/>
      <c r="U38" s="23"/>
      <c r="X38" s="23"/>
      <c r="Y38" s="23"/>
      <c r="Z38" s="23"/>
      <c r="AC38" s="23"/>
      <c r="AD38" s="23"/>
    </row>
    <row r="39" spans="1:30" s="11" customFormat="1" ht="15">
      <c r="A39" s="6"/>
      <c r="B39"/>
      <c r="C39" s="37"/>
      <c r="F39" s="38"/>
      <c r="G39" s="7"/>
      <c r="I39" s="23"/>
      <c r="J39" s="23"/>
      <c r="K39" s="23"/>
      <c r="N39" s="23"/>
      <c r="O39" s="23"/>
      <c r="P39" s="23"/>
      <c r="S39" s="23"/>
      <c r="T39" s="23"/>
      <c r="U39" s="23"/>
      <c r="X39" s="23"/>
      <c r="Y39" s="23"/>
      <c r="Z39" s="23"/>
      <c r="AC39" s="23"/>
      <c r="AD39" s="23"/>
    </row>
    <row r="40" spans="1:30" s="11" customFormat="1" ht="15">
      <c r="A40" s="6"/>
      <c r="B40"/>
      <c r="C40" s="37"/>
      <c r="F40" s="38"/>
      <c r="G40" s="7"/>
      <c r="I40" s="23"/>
      <c r="J40" s="23"/>
      <c r="K40" s="23"/>
      <c r="N40" s="23"/>
      <c r="O40" s="23"/>
      <c r="P40" s="23"/>
      <c r="S40" s="23"/>
      <c r="T40" s="23"/>
      <c r="U40" s="23"/>
      <c r="X40" s="23"/>
      <c r="Y40" s="23"/>
      <c r="Z40" s="23"/>
      <c r="AC40" s="23"/>
      <c r="AD40" s="23"/>
    </row>
    <row r="41" spans="1:30" s="11" customFormat="1" ht="15">
      <c r="A41" s="6"/>
      <c r="B41"/>
      <c r="C41" s="37"/>
      <c r="F41" s="38"/>
      <c r="G41" s="7"/>
      <c r="I41" s="23"/>
      <c r="J41" s="23"/>
      <c r="K41" s="23"/>
      <c r="N41" s="23"/>
      <c r="O41" s="23"/>
      <c r="P41" s="23"/>
      <c r="S41" s="23"/>
      <c r="T41" s="23"/>
      <c r="U41" s="23"/>
      <c r="X41" s="23"/>
      <c r="Y41" s="23"/>
      <c r="Z41" s="23"/>
      <c r="AC41" s="23"/>
      <c r="AD41" s="23"/>
    </row>
    <row r="42" spans="1:30" s="11" customFormat="1" ht="15">
      <c r="A42" s="6"/>
      <c r="B42"/>
      <c r="C42" s="37"/>
      <c r="F42" s="38"/>
      <c r="G42" s="7"/>
      <c r="I42" s="23"/>
      <c r="J42" s="23"/>
      <c r="K42" s="23"/>
      <c r="N42" s="23"/>
      <c r="O42" s="23"/>
      <c r="P42" s="23"/>
      <c r="S42" s="23"/>
      <c r="T42" s="23"/>
      <c r="U42" s="23"/>
      <c r="X42" s="23"/>
      <c r="Y42" s="23"/>
      <c r="Z42" s="23"/>
      <c r="AC42" s="23"/>
      <c r="AD42" s="23"/>
    </row>
    <row r="43" spans="1:30" s="11" customFormat="1" ht="15">
      <c r="A43" s="6"/>
      <c r="B43"/>
      <c r="C43" s="37"/>
      <c r="F43" s="38"/>
      <c r="G43" s="7"/>
      <c r="I43" s="23"/>
      <c r="J43" s="23"/>
      <c r="K43" s="23"/>
      <c r="N43" s="23"/>
      <c r="O43" s="23"/>
      <c r="P43" s="23"/>
      <c r="S43" s="23"/>
      <c r="T43" s="23"/>
      <c r="U43" s="23"/>
      <c r="X43" s="23"/>
      <c r="Y43" s="23"/>
      <c r="Z43" s="23"/>
      <c r="AC43" s="23"/>
      <c r="AD43" s="23"/>
    </row>
    <row r="44" spans="1:30" s="11" customFormat="1" ht="15">
      <c r="A44" s="6"/>
      <c r="B44"/>
      <c r="C44" s="37"/>
      <c r="F44" s="38"/>
      <c r="G44" s="7"/>
      <c r="I44" s="23"/>
      <c r="J44" s="23"/>
      <c r="K44" s="23"/>
      <c r="N44" s="23"/>
      <c r="O44" s="23"/>
      <c r="P44" s="23"/>
      <c r="S44" s="23"/>
      <c r="T44" s="23"/>
      <c r="U44" s="23"/>
      <c r="X44" s="23"/>
      <c r="Y44" s="23"/>
      <c r="Z44" s="23"/>
      <c r="AC44" s="23"/>
      <c r="AD44" s="23"/>
    </row>
    <row r="45" spans="1:30" s="11" customFormat="1" ht="15">
      <c r="A45" s="6"/>
      <c r="B45"/>
      <c r="C45" s="37"/>
      <c r="F45" s="38"/>
      <c r="G45" s="7"/>
      <c r="I45" s="23"/>
      <c r="J45" s="23"/>
      <c r="K45" s="23"/>
      <c r="N45" s="23"/>
      <c r="O45" s="23"/>
      <c r="P45" s="23"/>
      <c r="S45" s="23"/>
      <c r="T45" s="23"/>
      <c r="U45" s="23"/>
      <c r="X45" s="23"/>
      <c r="Y45" s="23"/>
      <c r="Z45" s="23"/>
      <c r="AC45" s="23"/>
      <c r="AD45" s="23"/>
    </row>
    <row r="46" spans="1:30" s="11" customFormat="1" ht="15">
      <c r="A46" s="6"/>
      <c r="B46"/>
      <c r="C46" s="37"/>
      <c r="F46" s="38"/>
      <c r="G46" s="7"/>
      <c r="I46" s="23"/>
      <c r="J46" s="23"/>
      <c r="K46" s="23"/>
      <c r="N46" s="23"/>
      <c r="O46" s="23"/>
      <c r="P46" s="23"/>
      <c r="S46" s="23"/>
      <c r="T46" s="23"/>
      <c r="U46" s="23"/>
      <c r="X46" s="23"/>
      <c r="Y46" s="23"/>
      <c r="Z46" s="23"/>
      <c r="AC46" s="23"/>
      <c r="AD46" s="23"/>
    </row>
    <row r="47" spans="1:30" s="11" customFormat="1" ht="15">
      <c r="A47" s="6"/>
      <c r="B47"/>
      <c r="C47" s="37"/>
      <c r="F47" s="38"/>
      <c r="G47" s="7"/>
      <c r="I47" s="23"/>
      <c r="J47" s="23"/>
      <c r="K47" s="23"/>
      <c r="N47" s="23"/>
      <c r="O47" s="23"/>
      <c r="P47" s="23"/>
      <c r="S47" s="23"/>
      <c r="T47" s="23"/>
      <c r="U47" s="23"/>
      <c r="X47" s="23"/>
      <c r="Y47" s="23"/>
      <c r="Z47" s="23"/>
      <c r="AC47" s="23"/>
      <c r="AD47" s="23"/>
    </row>
    <row r="48" spans="1:30" s="11" customFormat="1" ht="15">
      <c r="A48" s="6"/>
      <c r="B48"/>
      <c r="C48" s="37"/>
      <c r="F48" s="38"/>
      <c r="G48" s="7"/>
      <c r="I48" s="23"/>
      <c r="J48" s="23"/>
      <c r="K48" s="23"/>
      <c r="N48" s="23"/>
      <c r="O48" s="23"/>
      <c r="P48" s="23"/>
      <c r="S48" s="23"/>
      <c r="T48" s="23"/>
      <c r="U48" s="23"/>
      <c r="X48" s="23"/>
      <c r="Y48" s="23"/>
      <c r="Z48" s="23"/>
      <c r="AC48" s="23"/>
      <c r="AD48" s="23"/>
    </row>
    <row r="49" spans="1:30" s="11" customFormat="1" ht="15">
      <c r="A49" s="6"/>
      <c r="B49"/>
      <c r="C49" s="37"/>
      <c r="F49" s="38"/>
      <c r="G49" s="7"/>
      <c r="I49" s="23"/>
      <c r="J49" s="23"/>
      <c r="K49" s="23"/>
      <c r="N49" s="23"/>
      <c r="O49" s="23"/>
      <c r="P49" s="23"/>
      <c r="S49" s="23"/>
      <c r="T49" s="23"/>
      <c r="U49" s="23"/>
      <c r="X49" s="23"/>
      <c r="Y49" s="23"/>
      <c r="Z49" s="23"/>
      <c r="AC49" s="23"/>
      <c r="AD49" s="23"/>
    </row>
    <row r="50" spans="1:30" s="11" customFormat="1" ht="15">
      <c r="A50" s="6"/>
      <c r="B50"/>
      <c r="C50" s="37"/>
      <c r="F50" s="38"/>
      <c r="G50" s="7"/>
      <c r="I50" s="23"/>
      <c r="J50" s="23"/>
      <c r="K50" s="23"/>
      <c r="N50" s="23"/>
      <c r="O50" s="23"/>
      <c r="P50" s="23"/>
      <c r="S50" s="23"/>
      <c r="T50" s="23"/>
      <c r="U50" s="23"/>
      <c r="X50" s="23"/>
      <c r="Y50" s="23"/>
      <c r="Z50" s="23"/>
      <c r="AC50" s="23"/>
      <c r="AD50" s="23"/>
    </row>
    <row r="51" spans="1:30" s="11" customFormat="1" ht="15">
      <c r="A51" s="6"/>
      <c r="B51"/>
      <c r="C51" s="37"/>
      <c r="F51" s="38"/>
      <c r="G51" s="7"/>
      <c r="I51" s="23"/>
      <c r="J51" s="23"/>
      <c r="K51" s="23"/>
      <c r="N51" s="23"/>
      <c r="O51" s="23"/>
      <c r="P51" s="23"/>
      <c r="S51" s="23"/>
      <c r="T51" s="23"/>
      <c r="U51" s="23"/>
      <c r="X51" s="23"/>
      <c r="Y51" s="23"/>
      <c r="Z51" s="23"/>
      <c r="AC51" s="23"/>
      <c r="AD51" s="23"/>
    </row>
    <row r="52" spans="1:30" s="11" customFormat="1" ht="15">
      <c r="A52" s="6"/>
      <c r="B52"/>
      <c r="C52" s="37"/>
      <c r="F52" s="38"/>
      <c r="G52" s="7"/>
      <c r="I52" s="23"/>
      <c r="J52" s="23"/>
      <c r="K52" s="23"/>
      <c r="N52" s="23"/>
      <c r="O52" s="23"/>
      <c r="P52" s="23"/>
      <c r="S52" s="23"/>
      <c r="T52" s="23"/>
      <c r="U52" s="23"/>
      <c r="X52" s="23"/>
      <c r="Y52" s="23"/>
      <c r="Z52" s="23"/>
      <c r="AC52" s="23"/>
      <c r="AD52" s="23"/>
    </row>
    <row r="53" spans="1:30" s="11" customFormat="1" ht="15">
      <c r="A53" s="6"/>
      <c r="B53"/>
      <c r="C53" s="37"/>
      <c r="F53" s="38"/>
      <c r="G53" s="7"/>
      <c r="I53" s="23"/>
      <c r="J53" s="23"/>
      <c r="K53" s="23"/>
      <c r="N53" s="23"/>
      <c r="O53" s="23"/>
      <c r="P53" s="23"/>
      <c r="S53" s="23"/>
      <c r="T53" s="23"/>
      <c r="U53" s="23"/>
      <c r="X53" s="23"/>
      <c r="Y53" s="23"/>
      <c r="Z53" s="23"/>
      <c r="AC53" s="23"/>
      <c r="AD53" s="23"/>
    </row>
    <row r="54" spans="1:30" s="11" customFormat="1" ht="15">
      <c r="A54" s="6"/>
      <c r="B54"/>
      <c r="C54" s="37"/>
      <c r="F54" s="38"/>
      <c r="G54" s="7"/>
      <c r="I54" s="23"/>
      <c r="J54" s="23"/>
      <c r="K54" s="23"/>
      <c r="N54" s="23"/>
      <c r="O54" s="23"/>
      <c r="P54" s="23"/>
      <c r="S54" s="23"/>
      <c r="T54" s="23"/>
      <c r="U54" s="23"/>
      <c r="X54" s="23"/>
      <c r="Y54" s="23"/>
      <c r="Z54" s="23"/>
      <c r="AC54" s="23"/>
      <c r="AD54" s="23"/>
    </row>
    <row r="55" spans="1:30" s="11" customFormat="1" ht="15">
      <c r="A55" s="6"/>
      <c r="B55"/>
      <c r="C55" s="37"/>
      <c r="F55" s="38"/>
      <c r="G55" s="7"/>
      <c r="I55" s="23"/>
      <c r="J55" s="23"/>
      <c r="K55" s="23"/>
      <c r="N55" s="23"/>
      <c r="O55" s="23"/>
      <c r="P55" s="23"/>
      <c r="S55" s="23"/>
      <c r="T55" s="23"/>
      <c r="U55" s="23"/>
      <c r="X55" s="23"/>
      <c r="Y55" s="23"/>
      <c r="Z55" s="23"/>
      <c r="AC55" s="23"/>
      <c r="AD55" s="23"/>
    </row>
    <row r="56" spans="1:30" s="11" customFormat="1" ht="15">
      <c r="A56" s="6"/>
      <c r="B56"/>
      <c r="C56" s="37"/>
      <c r="F56" s="38"/>
      <c r="G56" s="7"/>
      <c r="I56" s="23"/>
      <c r="J56" s="23"/>
      <c r="K56" s="23"/>
      <c r="N56" s="23"/>
      <c r="O56" s="23"/>
      <c r="P56" s="23"/>
      <c r="S56" s="23"/>
      <c r="T56" s="23"/>
      <c r="U56" s="23"/>
      <c r="X56" s="23"/>
      <c r="Y56" s="23"/>
      <c r="Z56" s="23"/>
      <c r="AC56" s="23"/>
      <c r="AD56" s="23"/>
    </row>
    <row r="57" spans="1:30" s="11" customFormat="1" ht="15">
      <c r="A57" s="6"/>
      <c r="B57" s="37"/>
      <c r="C57" s="37"/>
      <c r="F57" s="38"/>
      <c r="G57" s="7"/>
      <c r="I57" s="23"/>
      <c r="J57" s="23"/>
      <c r="K57" s="23"/>
      <c r="N57" s="23"/>
      <c r="O57" s="23"/>
      <c r="P57" s="23"/>
      <c r="S57" s="23"/>
      <c r="T57" s="23"/>
      <c r="U57" s="23"/>
      <c r="X57" s="23"/>
      <c r="Y57" s="23"/>
      <c r="Z57" s="23"/>
      <c r="AC57" s="23"/>
      <c r="AD57" s="23"/>
    </row>
    <row r="58" spans="1:30" s="11" customFormat="1" ht="15">
      <c r="A58" s="6"/>
      <c r="B58" s="37"/>
      <c r="C58" s="37"/>
      <c r="F58" s="38"/>
      <c r="G58" s="7"/>
      <c r="I58" s="23"/>
      <c r="J58" s="23"/>
      <c r="K58" s="23"/>
      <c r="N58" s="23"/>
      <c r="O58" s="23"/>
      <c r="P58" s="23"/>
      <c r="S58" s="23"/>
      <c r="T58" s="23"/>
      <c r="U58" s="23"/>
      <c r="X58" s="23"/>
      <c r="Y58" s="23"/>
      <c r="Z58" s="23"/>
      <c r="AC58" s="23"/>
      <c r="AD58" s="23"/>
    </row>
    <row r="59" spans="1:30" s="11" customFormat="1" ht="15">
      <c r="A59" s="6"/>
      <c r="B59" s="37"/>
      <c r="C59" s="37"/>
      <c r="F59" s="38"/>
      <c r="G59" s="7"/>
      <c r="I59" s="23"/>
      <c r="J59" s="23"/>
      <c r="K59" s="23"/>
      <c r="N59" s="23"/>
      <c r="O59" s="23"/>
      <c r="P59" s="23"/>
      <c r="S59" s="23"/>
      <c r="T59" s="23"/>
      <c r="U59" s="23"/>
      <c r="X59" s="23"/>
      <c r="Y59" s="23"/>
      <c r="Z59" s="23"/>
      <c r="AC59" s="23"/>
      <c r="AD59" s="23"/>
    </row>
    <row r="60" spans="1:30" s="11" customFormat="1" ht="15">
      <c r="A60" s="6"/>
      <c r="B60" s="37"/>
      <c r="C60" s="37"/>
      <c r="F60" s="38"/>
      <c r="G60" s="7"/>
      <c r="I60" s="23"/>
      <c r="J60" s="23"/>
      <c r="K60" s="23"/>
      <c r="N60" s="23"/>
      <c r="O60" s="23"/>
      <c r="P60" s="23"/>
      <c r="S60" s="23"/>
      <c r="T60" s="23"/>
      <c r="U60" s="23"/>
      <c r="X60" s="23"/>
      <c r="Y60" s="23"/>
      <c r="Z60" s="23"/>
      <c r="AC60" s="23"/>
      <c r="AD60" s="23"/>
    </row>
    <row r="61" spans="1:30" s="11" customFormat="1">
      <c r="A61" s="32"/>
      <c r="F61" s="23"/>
      <c r="G61" s="23"/>
      <c r="I61" s="23"/>
      <c r="J61" s="23"/>
      <c r="K61" s="23"/>
      <c r="N61" s="23"/>
      <c r="O61" s="23"/>
      <c r="P61" s="23"/>
      <c r="S61" s="23"/>
      <c r="T61" s="23"/>
      <c r="U61" s="23"/>
      <c r="X61" s="23"/>
      <c r="Y61" s="23"/>
      <c r="Z61" s="23"/>
      <c r="AC61" s="23"/>
      <c r="AD61" s="23"/>
    </row>
    <row r="62" spans="1:30" s="11" customFormat="1">
      <c r="A62" s="32"/>
      <c r="F62" s="23"/>
      <c r="G62" s="23"/>
      <c r="I62" s="23"/>
      <c r="J62" s="23"/>
      <c r="K62" s="23"/>
      <c r="N62" s="23"/>
      <c r="O62" s="23"/>
      <c r="P62" s="23"/>
      <c r="S62" s="23"/>
      <c r="T62" s="23"/>
      <c r="U62" s="23"/>
      <c r="X62" s="23"/>
      <c r="Y62" s="23"/>
      <c r="Z62" s="23"/>
      <c r="AC62" s="23"/>
      <c r="AD62" s="23"/>
    </row>
    <row r="63" spans="1:30" s="11" customFormat="1">
      <c r="A63" s="32"/>
      <c r="F63" s="23"/>
      <c r="G63" s="23"/>
      <c r="I63" s="23"/>
      <c r="J63" s="23"/>
      <c r="K63" s="23"/>
      <c r="N63" s="23"/>
      <c r="O63" s="23"/>
      <c r="P63" s="23"/>
      <c r="S63" s="23"/>
      <c r="T63" s="23"/>
      <c r="U63" s="23"/>
      <c r="X63" s="23"/>
      <c r="Y63" s="23"/>
      <c r="Z63" s="23"/>
      <c r="AC63" s="23"/>
      <c r="AD63" s="23"/>
    </row>
    <row r="64" spans="1:30" s="11" customFormat="1">
      <c r="A64" s="32"/>
      <c r="F64" s="23"/>
      <c r="G64" s="23"/>
      <c r="I64" s="23"/>
      <c r="J64" s="23"/>
      <c r="K64" s="23"/>
      <c r="N64" s="23"/>
      <c r="O64" s="23"/>
      <c r="P64" s="23"/>
      <c r="S64" s="23"/>
      <c r="T64" s="23"/>
      <c r="U64" s="23"/>
      <c r="X64" s="23"/>
      <c r="Y64" s="23"/>
      <c r="Z64" s="23"/>
      <c r="AC64" s="23"/>
      <c r="AD64" s="23"/>
    </row>
    <row r="65" spans="1:30" s="11" customFormat="1">
      <c r="A65" s="32"/>
      <c r="F65" s="23"/>
      <c r="G65" s="23"/>
      <c r="I65" s="23"/>
      <c r="J65" s="23"/>
      <c r="K65" s="23"/>
      <c r="N65" s="23"/>
      <c r="O65" s="23"/>
      <c r="P65" s="23"/>
      <c r="S65" s="23"/>
      <c r="T65" s="23"/>
      <c r="U65" s="23"/>
      <c r="X65" s="23"/>
      <c r="Y65" s="23"/>
      <c r="Z65" s="23"/>
      <c r="AC65" s="23"/>
      <c r="AD65" s="23"/>
    </row>
    <row r="66" spans="1:30" s="11" customFormat="1">
      <c r="A66" s="32"/>
      <c r="F66" s="23"/>
      <c r="G66" s="23"/>
      <c r="I66" s="23"/>
      <c r="J66" s="23"/>
      <c r="K66" s="23"/>
      <c r="N66" s="23"/>
      <c r="O66" s="23"/>
      <c r="P66" s="23"/>
      <c r="S66" s="23"/>
      <c r="T66" s="23"/>
      <c r="U66" s="23"/>
      <c r="X66" s="23"/>
      <c r="Y66" s="23"/>
      <c r="Z66" s="23"/>
      <c r="AC66" s="23"/>
      <c r="AD66" s="23"/>
    </row>
    <row r="67" spans="1:30" s="11" customFormat="1">
      <c r="A67" s="32"/>
      <c r="F67" s="23"/>
      <c r="G67" s="23"/>
      <c r="I67" s="23"/>
      <c r="J67" s="23"/>
      <c r="K67" s="23"/>
      <c r="N67" s="23"/>
      <c r="O67" s="23"/>
      <c r="P67" s="23"/>
      <c r="S67" s="23"/>
      <c r="T67" s="23"/>
      <c r="U67" s="23"/>
      <c r="X67" s="23"/>
      <c r="Y67" s="23"/>
      <c r="Z67" s="23"/>
      <c r="AC67" s="23"/>
      <c r="AD67" s="23"/>
    </row>
    <row r="68" spans="1:30" s="11" customFormat="1">
      <c r="A68" s="32"/>
      <c r="F68" s="23"/>
      <c r="G68" s="23"/>
      <c r="I68" s="23"/>
      <c r="J68" s="23"/>
      <c r="K68" s="23"/>
      <c r="N68" s="23"/>
      <c r="O68" s="23"/>
      <c r="P68" s="23"/>
      <c r="S68" s="23"/>
      <c r="T68" s="23"/>
      <c r="U68" s="23"/>
      <c r="X68" s="23"/>
      <c r="Y68" s="23"/>
      <c r="Z68" s="23"/>
      <c r="AC68" s="23"/>
      <c r="AD68" s="23"/>
    </row>
    <row r="69" spans="1:30" s="11" customFormat="1">
      <c r="A69" s="32"/>
      <c r="F69" s="23"/>
      <c r="G69" s="23"/>
      <c r="I69" s="23"/>
      <c r="J69" s="23"/>
      <c r="K69" s="23"/>
      <c r="N69" s="23"/>
      <c r="O69" s="23"/>
      <c r="P69" s="23"/>
      <c r="S69" s="23"/>
      <c r="T69" s="23"/>
      <c r="U69" s="23"/>
      <c r="X69" s="23"/>
      <c r="Y69" s="23"/>
      <c r="Z69" s="23"/>
      <c r="AC69" s="23"/>
      <c r="AD69" s="23"/>
    </row>
    <row r="70" spans="1:30" s="11" customFormat="1">
      <c r="A70" s="32"/>
      <c r="F70" s="23"/>
      <c r="G70" s="23"/>
      <c r="I70" s="23"/>
      <c r="J70" s="23"/>
      <c r="K70" s="23"/>
      <c r="N70" s="23"/>
      <c r="O70" s="23"/>
      <c r="P70" s="23"/>
      <c r="S70" s="23"/>
      <c r="T70" s="23"/>
      <c r="U70" s="23"/>
      <c r="X70" s="23"/>
      <c r="Y70" s="23"/>
      <c r="Z70" s="23"/>
      <c r="AC70" s="23"/>
      <c r="AD70" s="23"/>
    </row>
  </sheetData>
  <mergeCells count="20">
    <mergeCell ref="O8:O11"/>
    <mergeCell ref="U8:U11"/>
    <mergeCell ref="J8:J11"/>
    <mergeCell ref="A2:A3"/>
    <mergeCell ref="B2:B3"/>
    <mergeCell ref="R2:T2"/>
    <mergeCell ref="K8:K11"/>
    <mergeCell ref="H2:K2"/>
    <mergeCell ref="M2:P2"/>
    <mergeCell ref="P8:P11"/>
    <mergeCell ref="T8:T11"/>
    <mergeCell ref="AF2:AI2"/>
    <mergeCell ref="AJ2:AM2"/>
    <mergeCell ref="Y8:Y11"/>
    <mergeCell ref="Z8:Z11"/>
    <mergeCell ref="W2:Z2"/>
    <mergeCell ref="AB2:AE2"/>
    <mergeCell ref="AD8:AD11"/>
    <mergeCell ref="AH8:AH11"/>
    <mergeCell ref="AL8:AL11"/>
  </mergeCells>
  <conditionalFormatting sqref="M8:M12">
    <cfRule type="cellIs" dxfId="4" priority="5" operator="greaterThan">
      <formula>4</formula>
    </cfRule>
  </conditionalFormatting>
  <conditionalFormatting sqref="R8:R12">
    <cfRule type="cellIs" dxfId="3" priority="4" operator="greaterThan">
      <formula>4</formula>
    </cfRule>
  </conditionalFormatting>
  <conditionalFormatting sqref="W8 W10:W12">
    <cfRule type="cellIs" dxfId="2" priority="3" operator="greaterThan">
      <formula>4</formula>
    </cfRule>
  </conditionalFormatting>
  <conditionalFormatting sqref="AB8:AB12">
    <cfRule type="cellIs" dxfId="1" priority="2" operator="greaterThan">
      <formula>4</formula>
    </cfRule>
  </conditionalFormatting>
  <conditionalFormatting sqref="W9">
    <cfRule type="cellIs" dxfId="0" priority="1" operator="greaterThan">
      <formula>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5db7d-44cc-4dd3-8909-2fbd3db14390" xsi:nil="true"/>
    <lcf76f155ced4ddcb4097134ff3c332f xmlns="bac1b4bd-e36d-4bd7-a12e-5a3ed8e0a3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F812578A9249984E6A81D86A58F9" ma:contentTypeVersion="12" ma:contentTypeDescription="Create a new document." ma:contentTypeScope="" ma:versionID="f2f013c7502a6c5e4068923bd23dfef4">
  <xsd:schema xmlns:xsd="http://www.w3.org/2001/XMLSchema" xmlns:xs="http://www.w3.org/2001/XMLSchema" xmlns:p="http://schemas.microsoft.com/office/2006/metadata/properties" xmlns:ns2="bac1b4bd-e36d-4bd7-a12e-5a3ed8e0a3a0" xmlns:ns3="8415db7d-44cc-4dd3-8909-2fbd3db14390" targetNamespace="http://schemas.microsoft.com/office/2006/metadata/properties" ma:root="true" ma:fieldsID="b570343c6fe753a1aa35838d07321bfb" ns2:_="" ns3:_="">
    <xsd:import namespace="bac1b4bd-e36d-4bd7-a12e-5a3ed8e0a3a0"/>
    <xsd:import namespace="8415db7d-44cc-4dd3-8909-2fbd3db14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1b4bd-e36d-4bd7-a12e-5a3ed8e0a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e5ac87-0055-4ddc-8316-51e615eba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5db7d-44cc-4dd3-8909-2fbd3db143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751ee9-a7ef-4841-9684-7f508fb54d8d}" ma:internalName="TaxCatchAll" ma:showField="CatchAllData" ma:web="8415db7d-44cc-4dd3-8909-2fbd3db14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AC491-196E-4203-BDD8-260A03FB2314}"/>
</file>

<file path=customXml/itemProps2.xml><?xml version="1.0" encoding="utf-8"?>
<ds:datastoreItem xmlns:ds="http://schemas.openxmlformats.org/officeDocument/2006/customXml" ds:itemID="{7A59C0B2-FB34-46BD-9F1E-9F64223845C1}"/>
</file>

<file path=customXml/itemProps3.xml><?xml version="1.0" encoding="utf-8"?>
<ds:datastoreItem xmlns:ds="http://schemas.openxmlformats.org/officeDocument/2006/customXml" ds:itemID="{88F53F2D-1149-4BA0-9D74-E7E774CA0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 Cho</dc:creator>
  <cp:keywords/>
  <dc:description/>
  <cp:lastModifiedBy>Pyae Phyo Maung</cp:lastModifiedBy>
  <cp:revision/>
  <dcterms:created xsi:type="dcterms:W3CDTF">2026-03-26T04:04:21Z</dcterms:created>
  <dcterms:modified xsi:type="dcterms:W3CDTF">2026-03-31T02:28:12Z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0x0101002F1FF812578A9249984E6A81D86A58F9</vt:lpwstr>
  </property>
  <property fmtid="{D5CDD505-2E9C-101B-9397-08002B2CF9AE}" pid="3" name="MediaServiceImageTags">
    <vt:lpwstr/>
  </property>
</Properties>
</file>